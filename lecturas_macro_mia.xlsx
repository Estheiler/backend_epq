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9.xml" ContentType="application/vnd.openxmlformats-officedocument.drawing+xml"/>
  <Override PartName="/xl/comments19.xml" ContentType="application/vnd.openxmlformats-officedocument.spreadsheetml.comments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20.xml" ContentType="application/vnd.openxmlformats-officedocument.drawing+xml"/>
  <Override PartName="/xl/comments20.xml" ContentType="application/vnd.openxmlformats-officedocument.spreadsheetml.comments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21.xml" ContentType="application/vnd.openxmlformats-officedocument.drawing+xml"/>
  <Override PartName="/xl/comments21.xml" ContentType="application/vnd.openxmlformats-officedocument.spreadsheetml.comments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22.xml" ContentType="application/vnd.openxmlformats-officedocument.drawing+xml"/>
  <Override PartName="/xl/comments22.xml" ContentType="application/vnd.openxmlformats-officedocument.spreadsheetml.comments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23.xml" ContentType="application/vnd.openxmlformats-officedocument.drawing+xml"/>
  <Override PartName="/xl/comments23.xml" ContentType="application/vnd.openxmlformats-officedocument.spreadsheetml.comments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24.xml" ContentType="application/vnd.openxmlformats-officedocument.drawing+xml"/>
  <Override PartName="/xl/comments24.xml" ContentType="application/vnd.openxmlformats-officedocument.spreadsheetml.comments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25.xml" ContentType="application/vnd.openxmlformats-officedocument.drawing+xml"/>
  <Override PartName="/xl/comments25.xml" ContentType="application/vnd.openxmlformats-officedocument.spreadsheetml.comments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26.xml" ContentType="application/vnd.openxmlformats-officedocument.drawing+xml"/>
  <Override PartName="/xl/comments26.xml" ContentType="application/vnd.openxmlformats-officedocument.spreadsheetml.comments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drawings/drawing27.xml" ContentType="application/vnd.openxmlformats-officedocument.drawing+xml"/>
  <Override PartName="/xl/comments27.xml" ContentType="application/vnd.openxmlformats-officedocument.spreadsheetml.comments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28.xml" ContentType="application/vnd.openxmlformats-officedocument.drawing+xml"/>
  <Override PartName="/xl/comments28.xml" ContentType="application/vnd.openxmlformats-officedocument.spreadsheetml.comments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29.xml" ContentType="application/vnd.openxmlformats-officedocument.drawing+xml"/>
  <Override PartName="/xl/comments29.xml" ContentType="application/vnd.openxmlformats-officedocument.spreadsheetml.comments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drawings/drawing30.xml" ContentType="application/vnd.openxmlformats-officedocument.drawing+xml"/>
  <Override PartName="/xl/comments30.xml" ContentType="application/vnd.openxmlformats-officedocument.spreadsheetml.comments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drawings/drawing31.xml" ContentType="application/vnd.openxmlformats-officedocument.drawing+xml"/>
  <Override PartName="/xl/comments31.xml" ContentType="application/vnd.openxmlformats-officedocument.spreadsheetml.comments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drawings/drawing32.xml" ContentType="application/vnd.openxmlformats-officedocument.drawing+xml"/>
  <Override PartName="/xl/comments32.xml" ContentType="application/vnd.openxmlformats-officedocument.spreadsheetml.comments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drawings/drawing33.xml" ContentType="application/vnd.openxmlformats-officedocument.drawing+xml"/>
  <Override PartName="/xl/comments33.xml" ContentType="application/vnd.openxmlformats-officedocument.spreadsheetml.comments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drawings/drawing34.xml" ContentType="application/vnd.openxmlformats-officedocument.drawing+xml"/>
  <Override PartName="/xl/comments34.xml" ContentType="application/vnd.openxmlformats-officedocument.spreadsheetml.comments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drawings/drawing35.xml" ContentType="application/vnd.openxmlformats-officedocument.drawing+xml"/>
  <Override PartName="/xl/comments35.xml" ContentType="application/vnd.openxmlformats-officedocument.spreadsheetml.comments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drawings/drawing36.xml" ContentType="application/vnd.openxmlformats-officedocument.drawing+xml"/>
  <Override PartName="/xl/comments36.xml" ContentType="application/vnd.openxmlformats-officedocument.spreadsheetml.comments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drawings/drawing37.xml" ContentType="application/vnd.openxmlformats-officedocument.drawing+xml"/>
  <Override PartName="/xl/comments37.xml" ContentType="application/vnd.openxmlformats-officedocument.spreadsheetml.comments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drawings/drawing38.xml" ContentType="application/vnd.openxmlformats-officedocument.drawing+xml"/>
  <Override PartName="/xl/comments38.xml" ContentType="application/vnd.openxmlformats-officedocument.spreadsheetml.comments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00 - PROYECTOS\backend_epq\"/>
    </mc:Choice>
  </mc:AlternateContent>
  <xr:revisionPtr revIDLastSave="0" documentId="13_ncr:1_{F01FD147-3A45-46B5-B303-1E98A6E0801C}" xr6:coauthVersionLast="47" xr6:coauthVersionMax="47" xr10:uidLastSave="{00000000-0000-0000-0000-000000000000}"/>
  <bookViews>
    <workbookView xWindow="-28908" yWindow="-60" windowWidth="29016" windowHeight="16416" firstSheet="31" activeTab="37" xr2:uid="{44297129-133D-418D-B58E-02671FCF661D}"/>
  </bookViews>
  <sheets>
    <sheet name="27-ABRIL-2026" sheetId="4" r:id="rId1"/>
    <sheet name="28-ABRIL-2026" sheetId="5" r:id="rId2"/>
    <sheet name="29-ABRIL-2026" sheetId="6" r:id="rId3"/>
    <sheet name="30-ABRIL-2026" sheetId="7" r:id="rId4"/>
    <sheet name="1-MAYO-2026" sheetId="8" r:id="rId5"/>
    <sheet name="2-MAYO-2026" sheetId="9" r:id="rId6"/>
    <sheet name="3-MAYO-2026 " sheetId="10" r:id="rId7"/>
    <sheet name="4-MAYO-2026  " sheetId="11" r:id="rId8"/>
    <sheet name="5-MAYO-2026  " sheetId="13" r:id="rId9"/>
    <sheet name="6-MAYO-2026  " sheetId="14" r:id="rId10"/>
    <sheet name="7-MAYO-2026" sheetId="16" r:id="rId11"/>
    <sheet name="8-MAYO-2026" sheetId="18" r:id="rId12"/>
    <sheet name="9-MAYO-2026" sheetId="19" r:id="rId13"/>
    <sheet name="10-MAYO-2026 " sheetId="20" r:id="rId14"/>
    <sheet name="11-MAYO-2026  " sheetId="21" r:id="rId15"/>
    <sheet name="12-MAYO-2026  " sheetId="22" r:id="rId16"/>
    <sheet name="13-MAYO-2026  " sheetId="23" r:id="rId17"/>
    <sheet name="14-MAYO-2026 " sheetId="24" r:id="rId18"/>
    <sheet name="15-MAYO-2026  " sheetId="25" r:id="rId19"/>
    <sheet name="16-MAYO-2026 " sheetId="26" r:id="rId20"/>
    <sheet name="17-MAYO-2026" sheetId="27" r:id="rId21"/>
    <sheet name="18-MAYO-2026 " sheetId="28" r:id="rId22"/>
    <sheet name="19-MAYO-2026  " sheetId="29" r:id="rId23"/>
    <sheet name="20-MAYO-2026" sheetId="30" r:id="rId24"/>
    <sheet name="21-MAYO-2026 " sheetId="31" r:id="rId25"/>
    <sheet name="22-MAYO-2026  " sheetId="32" r:id="rId26"/>
    <sheet name="23-MAYO-2026" sheetId="33" r:id="rId27"/>
    <sheet name="24-MAYO-2026" sheetId="34" r:id="rId28"/>
    <sheet name="25-MAYO-2026" sheetId="35" r:id="rId29"/>
    <sheet name="26-MAYO-2026 " sheetId="36" r:id="rId30"/>
    <sheet name="27-MAYO-2026  " sheetId="37" r:id="rId31"/>
    <sheet name="28-MAYO-2026   " sheetId="38" r:id="rId32"/>
    <sheet name="29-MAYO-2026    " sheetId="39" r:id="rId33"/>
    <sheet name="30-MAYO-2026   " sheetId="40" r:id="rId34"/>
    <sheet name="31-MAYO-2026  " sheetId="41" r:id="rId35"/>
    <sheet name="01-JUNIIO-2026  " sheetId="42" r:id="rId36"/>
    <sheet name="02-JUNIIO-2026   " sheetId="43" r:id="rId37"/>
    <sheet name="03-JUNIIO-2026   " sheetId="44" r:id="rId3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44" l="1"/>
  <c r="C31" i="44"/>
  <c r="C30" i="44"/>
  <c r="C29" i="44"/>
  <c r="D28" i="44"/>
  <c r="D27" i="44"/>
  <c r="D26" i="44"/>
  <c r="D25" i="44"/>
  <c r="D24" i="44"/>
  <c r="D22" i="44"/>
  <c r="D21" i="44"/>
  <c r="D20" i="44"/>
  <c r="D19" i="44"/>
  <c r="D18" i="44"/>
  <c r="D17" i="44"/>
  <c r="D16" i="44"/>
  <c r="D15" i="44"/>
  <c r="D14" i="44"/>
  <c r="D13" i="44"/>
  <c r="D12" i="44"/>
  <c r="D11" i="44"/>
  <c r="D10" i="44"/>
  <c r="D9" i="44"/>
  <c r="D8" i="44"/>
  <c r="D7" i="44"/>
  <c r="D6" i="44"/>
  <c r="E5" i="44"/>
  <c r="E6" i="44" l="1"/>
  <c r="D32" i="44"/>
  <c r="E7" i="44"/>
  <c r="E8" i="44" s="1"/>
  <c r="E9" i="44" s="1"/>
  <c r="E10" i="44" s="1"/>
  <c r="D30" i="44"/>
  <c r="D31" i="44"/>
  <c r="D29" i="44"/>
  <c r="E11" i="44" l="1"/>
  <c r="E12" i="44" s="1"/>
  <c r="E13" i="44" s="1"/>
  <c r="E14" i="44" s="1"/>
  <c r="E15" i="44" s="1"/>
  <c r="E16" i="44" s="1"/>
  <c r="E17" i="44" s="1"/>
  <c r="E18" i="44" s="1"/>
  <c r="E19" i="44" s="1"/>
  <c r="E20" i="44" s="1"/>
  <c r="E21" i="44" s="1"/>
  <c r="E22" i="44" s="1"/>
  <c r="E23" i="44" s="1"/>
  <c r="E24" i="44" s="1"/>
  <c r="E25" i="44" s="1"/>
  <c r="E26" i="44" s="1"/>
  <c r="E27" i="44" s="1"/>
  <c r="E28" i="44" s="1"/>
  <c r="E31" i="44" l="1"/>
  <c r="E32" i="44"/>
  <c r="E29" i="44"/>
  <c r="E30" i="44"/>
  <c r="D13" i="43" l="1"/>
  <c r="C32" i="43" l="1"/>
  <c r="C31" i="43"/>
  <c r="C30" i="43"/>
  <c r="C29" i="43"/>
  <c r="D28" i="43"/>
  <c r="D27" i="43"/>
  <c r="D26" i="43"/>
  <c r="D25" i="43"/>
  <c r="D24" i="43"/>
  <c r="D23" i="43"/>
  <c r="D22" i="43"/>
  <c r="D21" i="43"/>
  <c r="D20" i="43"/>
  <c r="D19" i="43"/>
  <c r="D18" i="43"/>
  <c r="D17" i="43"/>
  <c r="D16" i="43"/>
  <c r="D15" i="43"/>
  <c r="D14" i="43"/>
  <c r="D12" i="43"/>
  <c r="D11" i="43"/>
  <c r="D10" i="43"/>
  <c r="D9" i="43"/>
  <c r="D8" i="43"/>
  <c r="D7" i="43"/>
  <c r="D6" i="43"/>
  <c r="E5" i="43"/>
  <c r="E6" i="43" l="1"/>
  <c r="E7" i="43" s="1"/>
  <c r="E8" i="43" s="1"/>
  <c r="E9" i="43" s="1"/>
  <c r="D30" i="43"/>
  <c r="D31" i="43"/>
  <c r="D29" i="43"/>
  <c r="D32" i="43"/>
  <c r="E10" i="43" l="1"/>
  <c r="E11" i="43" s="1"/>
  <c r="E12" i="43" s="1"/>
  <c r="E13" i="43" s="1"/>
  <c r="E14" i="43" s="1"/>
  <c r="E15" i="43" s="1"/>
  <c r="E16" i="43" s="1"/>
  <c r="E17" i="43" s="1"/>
  <c r="E18" i="43" s="1"/>
  <c r="E19" i="43" s="1"/>
  <c r="E20" i="43" s="1"/>
  <c r="E21" i="43" s="1"/>
  <c r="E22" i="43" s="1"/>
  <c r="E23" i="43" s="1"/>
  <c r="E24" i="43" s="1"/>
  <c r="E25" i="43" s="1"/>
  <c r="E26" i="43" s="1"/>
  <c r="E27" i="43" s="1"/>
  <c r="E28" i="43" s="1"/>
  <c r="E29" i="43" l="1"/>
  <c r="E30" i="43"/>
  <c r="E32" i="43"/>
  <c r="E31" i="43"/>
  <c r="C32" i="42" l="1"/>
  <c r="C31" i="42"/>
  <c r="C30" i="42"/>
  <c r="C29" i="42"/>
  <c r="D28" i="42"/>
  <c r="D27" i="42"/>
  <c r="D26" i="42"/>
  <c r="D25" i="42"/>
  <c r="D24" i="42"/>
  <c r="D23" i="42"/>
  <c r="D22" i="42"/>
  <c r="D21" i="42"/>
  <c r="D20" i="42"/>
  <c r="D19" i="42"/>
  <c r="D18" i="42"/>
  <c r="D17" i="42"/>
  <c r="D16" i="42"/>
  <c r="D15" i="42"/>
  <c r="D14" i="42"/>
  <c r="D13" i="42"/>
  <c r="D12" i="42"/>
  <c r="D11" i="42"/>
  <c r="D10" i="42"/>
  <c r="D9" i="42"/>
  <c r="D8" i="42"/>
  <c r="D7" i="42"/>
  <c r="D6" i="42"/>
  <c r="C32" i="41"/>
  <c r="C31" i="41"/>
  <c r="C30" i="41"/>
  <c r="C29" i="41"/>
  <c r="D28" i="41"/>
  <c r="D27" i="41"/>
  <c r="D26" i="41"/>
  <c r="D25" i="41"/>
  <c r="D24" i="41"/>
  <c r="D23" i="41"/>
  <c r="D22" i="41"/>
  <c r="D21" i="41"/>
  <c r="D20" i="41"/>
  <c r="D19" i="41"/>
  <c r="D18" i="41"/>
  <c r="D17" i="41"/>
  <c r="D16" i="41"/>
  <c r="D15" i="41"/>
  <c r="D14" i="41"/>
  <c r="D13" i="41"/>
  <c r="D12" i="41"/>
  <c r="D11" i="41"/>
  <c r="D10" i="41"/>
  <c r="D9" i="41"/>
  <c r="D8" i="41"/>
  <c r="D7" i="41"/>
  <c r="D6" i="41"/>
  <c r="C32" i="40"/>
  <c r="C31" i="40"/>
  <c r="C30" i="40"/>
  <c r="C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C32" i="39"/>
  <c r="C31" i="39"/>
  <c r="C30" i="39"/>
  <c r="C29" i="39"/>
  <c r="D28" i="39"/>
  <c r="D27" i="39"/>
  <c r="D26" i="39"/>
  <c r="D25" i="39"/>
  <c r="D24" i="39"/>
  <c r="D23" i="39"/>
  <c r="D22" i="39"/>
  <c r="D21" i="39"/>
  <c r="D20" i="39"/>
  <c r="D19" i="39"/>
  <c r="D18" i="39"/>
  <c r="D17" i="39"/>
  <c r="D16" i="39"/>
  <c r="D15" i="39"/>
  <c r="D14" i="39"/>
  <c r="D13" i="39"/>
  <c r="D12" i="39"/>
  <c r="D11" i="39"/>
  <c r="D10" i="39"/>
  <c r="D9" i="39"/>
  <c r="D8" i="39"/>
  <c r="D7" i="39"/>
  <c r="D6" i="39"/>
  <c r="D5" i="38"/>
  <c r="C32" i="38"/>
  <c r="C31" i="38"/>
  <c r="C30" i="38"/>
  <c r="C29" i="38"/>
  <c r="D28" i="38"/>
  <c r="D27" i="38"/>
  <c r="D26" i="38"/>
  <c r="D25" i="38"/>
  <c r="D24" i="38"/>
  <c r="D23" i="38"/>
  <c r="D22" i="38"/>
  <c r="D21" i="38"/>
  <c r="D20" i="38"/>
  <c r="D19" i="38"/>
  <c r="D18" i="38"/>
  <c r="D17" i="38"/>
  <c r="D16" i="38"/>
  <c r="D15" i="38"/>
  <c r="D14" i="38"/>
  <c r="D13" i="38"/>
  <c r="D12" i="38"/>
  <c r="D11" i="38"/>
  <c r="D10" i="38"/>
  <c r="D9" i="38"/>
  <c r="D8" i="38"/>
  <c r="D7" i="38"/>
  <c r="D6" i="38"/>
  <c r="D5" i="37"/>
  <c r="E5" i="37" s="1"/>
  <c r="C32" i="37"/>
  <c r="C31" i="37"/>
  <c r="C30" i="37"/>
  <c r="C29" i="37"/>
  <c r="D28" i="37"/>
  <c r="D27" i="37"/>
  <c r="D26" i="37"/>
  <c r="D25" i="37"/>
  <c r="D24" i="37"/>
  <c r="D23" i="37"/>
  <c r="D22" i="37"/>
  <c r="D21" i="37"/>
  <c r="D20" i="37"/>
  <c r="D19" i="37"/>
  <c r="D18" i="37"/>
  <c r="D17" i="37"/>
  <c r="D16" i="37"/>
  <c r="D15" i="37"/>
  <c r="D14" i="37"/>
  <c r="D13" i="37"/>
  <c r="D12" i="37"/>
  <c r="D11" i="37"/>
  <c r="D10" i="37"/>
  <c r="D9" i="37"/>
  <c r="D8" i="37"/>
  <c r="D7" i="37"/>
  <c r="D6" i="37"/>
  <c r="C32" i="36"/>
  <c r="C31" i="36"/>
  <c r="C30" i="36"/>
  <c r="C29" i="36"/>
  <c r="D28" i="36"/>
  <c r="D27" i="36"/>
  <c r="D26" i="36"/>
  <c r="D25" i="36"/>
  <c r="D24" i="36"/>
  <c r="D23" i="36"/>
  <c r="D22" i="36"/>
  <c r="D21" i="36"/>
  <c r="D20" i="36"/>
  <c r="D19" i="36"/>
  <c r="D18" i="36"/>
  <c r="D17" i="36"/>
  <c r="D16" i="36"/>
  <c r="D15" i="36"/>
  <c r="D14" i="36"/>
  <c r="D13" i="36"/>
  <c r="D12" i="36"/>
  <c r="D11" i="36"/>
  <c r="D10" i="36"/>
  <c r="D9" i="36"/>
  <c r="D8" i="36"/>
  <c r="D7" i="36"/>
  <c r="D6" i="36"/>
  <c r="C32" i="35"/>
  <c r="C31" i="35"/>
  <c r="C30" i="35"/>
  <c r="C29" i="35"/>
  <c r="D28" i="35"/>
  <c r="D27" i="35"/>
  <c r="D26" i="35"/>
  <c r="D25" i="35"/>
  <c r="D24" i="35"/>
  <c r="D23" i="35"/>
  <c r="D22" i="35"/>
  <c r="D21" i="35"/>
  <c r="D20" i="35"/>
  <c r="D19" i="35"/>
  <c r="D18" i="35"/>
  <c r="D17" i="35"/>
  <c r="D16" i="35"/>
  <c r="D15" i="35"/>
  <c r="D14" i="35"/>
  <c r="D13" i="35"/>
  <c r="D12" i="35"/>
  <c r="D11" i="35"/>
  <c r="D10" i="35"/>
  <c r="D9" i="35"/>
  <c r="D8" i="35"/>
  <c r="D7" i="35"/>
  <c r="D6" i="35"/>
  <c r="E5" i="35"/>
  <c r="D32" i="42" l="1"/>
  <c r="D31" i="42"/>
  <c r="D32" i="41"/>
  <c r="D30" i="42"/>
  <c r="E5" i="42"/>
  <c r="E6" i="42" s="1"/>
  <c r="E7" i="42" s="1"/>
  <c r="E8" i="42" s="1"/>
  <c r="E9" i="42" s="1"/>
  <c r="E10" i="42" s="1"/>
  <c r="E11" i="42" s="1"/>
  <c r="E12" i="42" s="1"/>
  <c r="E13" i="42" s="1"/>
  <c r="E14" i="42" s="1"/>
  <c r="E15" i="42" s="1"/>
  <c r="E16" i="42" s="1"/>
  <c r="E17" i="42" s="1"/>
  <c r="E18" i="42" s="1"/>
  <c r="E19" i="42" s="1"/>
  <c r="E20" i="42" s="1"/>
  <c r="E21" i="42" s="1"/>
  <c r="E22" i="42" s="1"/>
  <c r="E23" i="42" s="1"/>
  <c r="E24" i="42" s="1"/>
  <c r="E25" i="42" s="1"/>
  <c r="E26" i="42" s="1"/>
  <c r="E27" i="42" s="1"/>
  <c r="E28" i="42" s="1"/>
  <c r="D29" i="42"/>
  <c r="D30" i="41"/>
  <c r="D31" i="41"/>
  <c r="E5" i="41"/>
  <c r="E6" i="41" s="1"/>
  <c r="E7" i="41" s="1"/>
  <c r="E8" i="41" s="1"/>
  <c r="E9" i="41" s="1"/>
  <c r="E10" i="41" s="1"/>
  <c r="E11" i="41" s="1"/>
  <c r="E12" i="41" s="1"/>
  <c r="E13" i="41" s="1"/>
  <c r="E14" i="41" s="1"/>
  <c r="E15" i="41" s="1"/>
  <c r="E16" i="41" s="1"/>
  <c r="E17" i="41" s="1"/>
  <c r="E18" i="41" s="1"/>
  <c r="E19" i="41" s="1"/>
  <c r="E20" i="41" s="1"/>
  <c r="E21" i="41" s="1"/>
  <c r="E22" i="41" s="1"/>
  <c r="E23" i="41" s="1"/>
  <c r="E24" i="41" s="1"/>
  <c r="E25" i="41" s="1"/>
  <c r="E26" i="41" s="1"/>
  <c r="E27" i="41" s="1"/>
  <c r="E28" i="41" s="1"/>
  <c r="D29" i="41"/>
  <c r="D32" i="40"/>
  <c r="E5" i="40"/>
  <c r="E6" i="40" s="1"/>
  <c r="E7" i="40" s="1"/>
  <c r="E8" i="40" s="1"/>
  <c r="E9" i="40" s="1"/>
  <c r="E10" i="40" s="1"/>
  <c r="E11" i="40" s="1"/>
  <c r="E12" i="40" s="1"/>
  <c r="E13" i="40" s="1"/>
  <c r="E14" i="40" s="1"/>
  <c r="E15" i="40" s="1"/>
  <c r="E16" i="40" s="1"/>
  <c r="E17" i="40" s="1"/>
  <c r="E18" i="40" s="1"/>
  <c r="E19" i="40" s="1"/>
  <c r="E20" i="40" s="1"/>
  <c r="E21" i="40" s="1"/>
  <c r="E22" i="40" s="1"/>
  <c r="E23" i="40" s="1"/>
  <c r="E24" i="40" s="1"/>
  <c r="E25" i="40" s="1"/>
  <c r="E26" i="40" s="1"/>
  <c r="E27" i="40" s="1"/>
  <c r="E28" i="40" s="1"/>
  <c r="D30" i="40"/>
  <c r="D29" i="40"/>
  <c r="D31" i="40"/>
  <c r="D32" i="39"/>
  <c r="D30" i="39"/>
  <c r="D31" i="39"/>
  <c r="E5" i="39"/>
  <c r="E6" i="39" s="1"/>
  <c r="E7" i="39" s="1"/>
  <c r="E8" i="39" s="1"/>
  <c r="E9" i="39" s="1"/>
  <c r="E10" i="39" s="1"/>
  <c r="E11" i="39" s="1"/>
  <c r="E12" i="39" s="1"/>
  <c r="E13" i="39" s="1"/>
  <c r="E14" i="39" s="1"/>
  <c r="E15" i="39" s="1"/>
  <c r="E16" i="39" s="1"/>
  <c r="E17" i="39" s="1"/>
  <c r="E18" i="39" s="1"/>
  <c r="E19" i="39" s="1"/>
  <c r="E20" i="39" s="1"/>
  <c r="E21" i="39" s="1"/>
  <c r="E22" i="39" s="1"/>
  <c r="E23" i="39" s="1"/>
  <c r="E24" i="39" s="1"/>
  <c r="E25" i="39" s="1"/>
  <c r="E26" i="39" s="1"/>
  <c r="E27" i="39" s="1"/>
  <c r="E28" i="39" s="1"/>
  <c r="D29" i="39"/>
  <c r="D32" i="38"/>
  <c r="D31" i="38"/>
  <c r="D30" i="38"/>
  <c r="E5" i="38"/>
  <c r="D29" i="38"/>
  <c r="E6" i="37"/>
  <c r="D30" i="37"/>
  <c r="D31" i="37"/>
  <c r="D29" i="37"/>
  <c r="D32" i="37"/>
  <c r="D32" i="36"/>
  <c r="D32" i="35"/>
  <c r="E6" i="35"/>
  <c r="D30" i="36"/>
  <c r="D31" i="36"/>
  <c r="E5" i="36"/>
  <c r="D29" i="36"/>
  <c r="E7" i="35"/>
  <c r="E8" i="35" s="1"/>
  <c r="E9" i="35" s="1"/>
  <c r="E10" i="35" s="1"/>
  <c r="E11" i="35" s="1"/>
  <c r="E12" i="35" s="1"/>
  <c r="E13" i="35" s="1"/>
  <c r="E14" i="35" s="1"/>
  <c r="E15" i="35" s="1"/>
  <c r="E16" i="35" s="1"/>
  <c r="E17" i="35" s="1"/>
  <c r="E18" i="35" s="1"/>
  <c r="E19" i="35" s="1"/>
  <c r="E20" i="35" s="1"/>
  <c r="E21" i="35" s="1"/>
  <c r="E22" i="35" s="1"/>
  <c r="E23" i="35" s="1"/>
  <c r="E24" i="35" s="1"/>
  <c r="E25" i="35" s="1"/>
  <c r="E26" i="35" s="1"/>
  <c r="E27" i="35" s="1"/>
  <c r="E28" i="35" s="1"/>
  <c r="D30" i="35"/>
  <c r="D31" i="35"/>
  <c r="D29" i="35"/>
  <c r="E32" i="42" l="1"/>
  <c r="E29" i="42"/>
  <c r="E31" i="42"/>
  <c r="E30" i="42"/>
  <c r="E32" i="41"/>
  <c r="E29" i="41"/>
  <c r="E31" i="41"/>
  <c r="E30" i="41"/>
  <c r="E29" i="40"/>
  <c r="E32" i="40"/>
  <c r="E31" i="40"/>
  <c r="E30" i="40"/>
  <c r="E32" i="39"/>
  <c r="E29" i="39"/>
  <c r="E31" i="39"/>
  <c r="E30" i="39"/>
  <c r="E6" i="38"/>
  <c r="E7" i="38" s="1"/>
  <c r="E8" i="38" s="1"/>
  <c r="E9" i="38" s="1"/>
  <c r="E10" i="38" s="1"/>
  <c r="E11" i="38" s="1"/>
  <c r="E12" i="38" s="1"/>
  <c r="E13" i="38" s="1"/>
  <c r="E14" i="38" s="1"/>
  <c r="E15" i="38" s="1"/>
  <c r="E16" i="38" s="1"/>
  <c r="E17" i="38" s="1"/>
  <c r="E18" i="38" s="1"/>
  <c r="E19" i="38" s="1"/>
  <c r="E20" i="38" s="1"/>
  <c r="E21" i="38" s="1"/>
  <c r="E22" i="38" s="1"/>
  <c r="E23" i="38" s="1"/>
  <c r="E24" i="38" s="1"/>
  <c r="E25" i="38" s="1"/>
  <c r="E26" i="38" s="1"/>
  <c r="E27" i="38" s="1"/>
  <c r="E28" i="38" s="1"/>
  <c r="E7" i="37"/>
  <c r="E6" i="36"/>
  <c r="E7" i="36" s="1"/>
  <c r="E8" i="36" s="1"/>
  <c r="E9" i="36" s="1"/>
  <c r="E10" i="36" s="1"/>
  <c r="E11" i="36" s="1"/>
  <c r="E12" i="36" s="1"/>
  <c r="E13" i="36" s="1"/>
  <c r="E14" i="36" s="1"/>
  <c r="E15" i="36" s="1"/>
  <c r="E16" i="36" s="1"/>
  <c r="E17" i="36" s="1"/>
  <c r="E18" i="36" s="1"/>
  <c r="E19" i="36" s="1"/>
  <c r="E20" i="36" s="1"/>
  <c r="E21" i="36" s="1"/>
  <c r="E22" i="36" s="1"/>
  <c r="E23" i="36" s="1"/>
  <c r="E24" i="36" s="1"/>
  <c r="E25" i="36" s="1"/>
  <c r="E26" i="36" s="1"/>
  <c r="E27" i="36" s="1"/>
  <c r="E28" i="36" s="1"/>
  <c r="E32" i="35"/>
  <c r="E29" i="35"/>
  <c r="E30" i="35"/>
  <c r="E31" i="35"/>
  <c r="E30" i="38" l="1"/>
  <c r="E31" i="38"/>
  <c r="E29" i="38"/>
  <c r="E32" i="38"/>
  <c r="E8" i="37"/>
  <c r="E9" i="37" s="1"/>
  <c r="E10" i="37" s="1"/>
  <c r="E11" i="37" s="1"/>
  <c r="E12" i="37" s="1"/>
  <c r="E13" i="37" s="1"/>
  <c r="E14" i="37" s="1"/>
  <c r="E15" i="37" s="1"/>
  <c r="E16" i="37" s="1"/>
  <c r="E17" i="37" s="1"/>
  <c r="E18" i="37" s="1"/>
  <c r="E19" i="37" s="1"/>
  <c r="E20" i="37" s="1"/>
  <c r="E21" i="37" s="1"/>
  <c r="E22" i="37" s="1"/>
  <c r="E23" i="37" s="1"/>
  <c r="E24" i="37" s="1"/>
  <c r="E25" i="37" s="1"/>
  <c r="E26" i="37" s="1"/>
  <c r="E27" i="37" s="1"/>
  <c r="E28" i="37" s="1"/>
  <c r="E31" i="36"/>
  <c r="E29" i="36"/>
  <c r="E30" i="36"/>
  <c r="E32" i="36"/>
  <c r="E31" i="37" l="1"/>
  <c r="E30" i="37"/>
  <c r="E29" i="37"/>
  <c r="E32" i="37"/>
  <c r="C32" i="34" l="1"/>
  <c r="C31" i="34"/>
  <c r="C30" i="34"/>
  <c r="C29" i="34"/>
  <c r="D28" i="34"/>
  <c r="D27" i="34"/>
  <c r="D26" i="34"/>
  <c r="D25" i="34"/>
  <c r="D24" i="34"/>
  <c r="D23" i="34"/>
  <c r="D22" i="34"/>
  <c r="D21" i="34"/>
  <c r="D20" i="34"/>
  <c r="D19" i="34"/>
  <c r="D18" i="34"/>
  <c r="D17" i="34"/>
  <c r="D16" i="34"/>
  <c r="D15" i="34"/>
  <c r="D14" i="34"/>
  <c r="D13" i="34"/>
  <c r="D12" i="34"/>
  <c r="D11" i="34"/>
  <c r="D10" i="34"/>
  <c r="D9" i="34"/>
  <c r="D8" i="34"/>
  <c r="D7" i="34"/>
  <c r="D6" i="34"/>
  <c r="D32" i="34" l="1"/>
  <c r="D30" i="34"/>
  <c r="D31" i="34"/>
  <c r="E5" i="34"/>
  <c r="D29" i="34"/>
  <c r="E6" i="34" l="1"/>
  <c r="E7" i="34" s="1"/>
  <c r="E8" i="34" s="1"/>
  <c r="E9" i="34" s="1"/>
  <c r="E10" i="34" s="1"/>
  <c r="E11" i="34" s="1"/>
  <c r="E12" i="34" s="1"/>
  <c r="E13" i="34" s="1"/>
  <c r="E14" i="34" s="1"/>
  <c r="E15" i="34" s="1"/>
  <c r="E16" i="34" s="1"/>
  <c r="E17" i="34" s="1"/>
  <c r="E18" i="34" s="1"/>
  <c r="E19" i="34" s="1"/>
  <c r="E20" i="34" s="1"/>
  <c r="E21" i="34" s="1"/>
  <c r="E22" i="34" s="1"/>
  <c r="E23" i="34" s="1"/>
  <c r="E24" i="34" s="1"/>
  <c r="E25" i="34" s="1"/>
  <c r="E26" i="34" s="1"/>
  <c r="E27" i="34" s="1"/>
  <c r="E28" i="34" s="1"/>
  <c r="E30" i="34" l="1"/>
  <c r="E31" i="34"/>
  <c r="E29" i="34"/>
  <c r="E32" i="34"/>
  <c r="C32" i="33" l="1"/>
  <c r="C31" i="33"/>
  <c r="C30" i="33"/>
  <c r="C29" i="33"/>
  <c r="D28" i="33"/>
  <c r="D27" i="33"/>
  <c r="D26" i="33"/>
  <c r="D25" i="33"/>
  <c r="D24" i="33"/>
  <c r="D23" i="33"/>
  <c r="D22" i="33"/>
  <c r="D21" i="33"/>
  <c r="D20" i="33"/>
  <c r="D19" i="33"/>
  <c r="D18" i="33"/>
  <c r="D17" i="33"/>
  <c r="D16" i="33"/>
  <c r="D15" i="33"/>
  <c r="D14" i="33"/>
  <c r="D13" i="33"/>
  <c r="D12" i="33"/>
  <c r="D11" i="33"/>
  <c r="D10" i="33"/>
  <c r="D9" i="33"/>
  <c r="D8" i="33"/>
  <c r="D7" i="33"/>
  <c r="D6" i="33"/>
  <c r="C32" i="32"/>
  <c r="C31" i="32"/>
  <c r="C30" i="32"/>
  <c r="C29" i="32"/>
  <c r="D28" i="32"/>
  <c r="D27" i="32"/>
  <c r="D26" i="32"/>
  <c r="D25" i="32"/>
  <c r="D24" i="32"/>
  <c r="D23" i="32"/>
  <c r="D22" i="32"/>
  <c r="D21" i="32"/>
  <c r="D20" i="32"/>
  <c r="D19" i="32"/>
  <c r="D18" i="32"/>
  <c r="D17" i="32"/>
  <c r="D16" i="32"/>
  <c r="D15" i="32"/>
  <c r="D14" i="32"/>
  <c r="D13" i="32"/>
  <c r="D12" i="32"/>
  <c r="D11" i="32"/>
  <c r="D10" i="32"/>
  <c r="D9" i="32"/>
  <c r="D8" i="32"/>
  <c r="D7" i="32"/>
  <c r="D6" i="32"/>
  <c r="E5" i="32"/>
  <c r="D32" i="33" l="1"/>
  <c r="D31" i="33"/>
  <c r="D30" i="33"/>
  <c r="E5" i="33"/>
  <c r="D29" i="33"/>
  <c r="E6" i="32"/>
  <c r="D30" i="32"/>
  <c r="D31" i="32"/>
  <c r="D29" i="32"/>
  <c r="D32" i="32"/>
  <c r="E6" i="33" l="1"/>
  <c r="E7" i="33" s="1"/>
  <c r="E8" i="33" s="1"/>
  <c r="E9" i="33" s="1"/>
  <c r="E10" i="33" s="1"/>
  <c r="E11" i="33" s="1"/>
  <c r="E12" i="33" s="1"/>
  <c r="E13" i="33" s="1"/>
  <c r="E14" i="33" s="1"/>
  <c r="E15" i="33" s="1"/>
  <c r="E16" i="33" s="1"/>
  <c r="E17" i="33" s="1"/>
  <c r="E18" i="33" s="1"/>
  <c r="E19" i="33" s="1"/>
  <c r="E20" i="33" s="1"/>
  <c r="E21" i="33" s="1"/>
  <c r="E22" i="33" s="1"/>
  <c r="E23" i="33" s="1"/>
  <c r="E24" i="33" s="1"/>
  <c r="E25" i="33" s="1"/>
  <c r="E26" i="33" s="1"/>
  <c r="E27" i="33" s="1"/>
  <c r="E28" i="33" s="1"/>
  <c r="E7" i="32"/>
  <c r="E30" i="33" l="1"/>
  <c r="E31" i="33"/>
  <c r="E29" i="33"/>
  <c r="E32" i="33"/>
  <c r="E8" i="32"/>
  <c r="E9" i="32" l="1"/>
  <c r="E10" i="32" l="1"/>
  <c r="E11" i="32" l="1"/>
  <c r="E12" i="32" l="1"/>
  <c r="E13" i="32" l="1"/>
  <c r="E14" i="32" l="1"/>
  <c r="E15" i="32" s="1"/>
  <c r="E16" i="32" s="1"/>
  <c r="E17" i="32" s="1"/>
  <c r="E18" i="32" s="1"/>
  <c r="E19" i="32" s="1"/>
  <c r="E20" i="32" s="1"/>
  <c r="E21" i="32" s="1"/>
  <c r="E22" i="32" s="1"/>
  <c r="E23" i="32" s="1"/>
  <c r="E24" i="32" s="1"/>
  <c r="E25" i="32" s="1"/>
  <c r="E26" i="32" s="1"/>
  <c r="E27" i="32" s="1"/>
  <c r="E28" i="32" s="1"/>
  <c r="E29" i="32" s="1"/>
  <c r="E31" i="32" l="1"/>
  <c r="E32" i="32"/>
  <c r="E30" i="32"/>
  <c r="C32" i="31" l="1"/>
  <c r="C31" i="31"/>
  <c r="C30" i="31"/>
  <c r="C29" i="31"/>
  <c r="D28" i="31"/>
  <c r="D27" i="31"/>
  <c r="D26" i="31"/>
  <c r="D25" i="31"/>
  <c r="D24" i="31"/>
  <c r="D23" i="31"/>
  <c r="D22" i="31"/>
  <c r="D21" i="31"/>
  <c r="D20" i="31"/>
  <c r="D19" i="31"/>
  <c r="D18" i="31"/>
  <c r="D17" i="31"/>
  <c r="D16" i="31"/>
  <c r="D15" i="31"/>
  <c r="D14" i="31"/>
  <c r="D13" i="31"/>
  <c r="D12" i="31"/>
  <c r="D11" i="31"/>
  <c r="D10" i="31"/>
  <c r="D9" i="31"/>
  <c r="D8" i="31"/>
  <c r="D7" i="31"/>
  <c r="D6" i="31"/>
  <c r="D5" i="30"/>
  <c r="C32" i="30"/>
  <c r="C31" i="30"/>
  <c r="C30" i="30"/>
  <c r="C29" i="30"/>
  <c r="D28" i="30"/>
  <c r="D26" i="30"/>
  <c r="D25" i="30"/>
  <c r="D24" i="30"/>
  <c r="D23" i="30"/>
  <c r="D22" i="30"/>
  <c r="D21" i="30"/>
  <c r="D20" i="30"/>
  <c r="D19" i="30"/>
  <c r="D18" i="30"/>
  <c r="D17" i="30"/>
  <c r="D16" i="30"/>
  <c r="D15" i="30"/>
  <c r="D14" i="30"/>
  <c r="D13" i="30"/>
  <c r="D12" i="30"/>
  <c r="D11" i="30"/>
  <c r="D10" i="30"/>
  <c r="D9" i="30"/>
  <c r="D8" i="30"/>
  <c r="D7" i="30"/>
  <c r="D6" i="30"/>
  <c r="D32" i="31" l="1"/>
  <c r="D30" i="31"/>
  <c r="D31" i="31"/>
  <c r="E5" i="31"/>
  <c r="E6" i="31" s="1"/>
  <c r="E7" i="31" s="1"/>
  <c r="E8" i="31" s="1"/>
  <c r="E9" i="31" s="1"/>
  <c r="E10" i="31" s="1"/>
  <c r="E11" i="31" s="1"/>
  <c r="E12" i="31" s="1"/>
  <c r="E13" i="31" s="1"/>
  <c r="E14" i="31" s="1"/>
  <c r="E15" i="31" s="1"/>
  <c r="E16" i="31" s="1"/>
  <c r="E17" i="31" s="1"/>
  <c r="E18" i="31" s="1"/>
  <c r="E19" i="31" s="1"/>
  <c r="E20" i="31" s="1"/>
  <c r="E21" i="31" s="1"/>
  <c r="E22" i="31" s="1"/>
  <c r="E23" i="31" s="1"/>
  <c r="E24" i="31" s="1"/>
  <c r="E25" i="31" s="1"/>
  <c r="E26" i="31" s="1"/>
  <c r="E27" i="31" s="1"/>
  <c r="E28" i="31" s="1"/>
  <c r="D29" i="31"/>
  <c r="D32" i="30"/>
  <c r="D30" i="30"/>
  <c r="D31" i="30"/>
  <c r="E5" i="30"/>
  <c r="D29" i="30"/>
  <c r="E32" i="31" l="1"/>
  <c r="E29" i="31"/>
  <c r="E31" i="31"/>
  <c r="E30" i="31"/>
  <c r="E6" i="30"/>
  <c r="E7" i="30" s="1"/>
  <c r="E8" i="30" s="1"/>
  <c r="E9" i="30" s="1"/>
  <c r="E10" i="30" s="1"/>
  <c r="E11" i="30" s="1"/>
  <c r="E12" i="30" s="1"/>
  <c r="E13" i="30" s="1"/>
  <c r="E14" i="30" s="1"/>
  <c r="E15" i="30" s="1"/>
  <c r="E16" i="30" s="1"/>
  <c r="E17" i="30" s="1"/>
  <c r="E18" i="30" s="1"/>
  <c r="E19" i="30" s="1"/>
  <c r="E20" i="30" s="1"/>
  <c r="E21" i="30" s="1"/>
  <c r="E22" i="30" s="1"/>
  <c r="E23" i="30" s="1"/>
  <c r="E24" i="30" s="1"/>
  <c r="E25" i="30" s="1"/>
  <c r="E26" i="30" s="1"/>
  <c r="E27" i="30" s="1"/>
  <c r="E28" i="30" s="1"/>
  <c r="E30" i="30" l="1"/>
  <c r="E29" i="30"/>
  <c r="E31" i="30"/>
  <c r="E32" i="30"/>
  <c r="D5" i="29" l="1"/>
  <c r="D5" i="25"/>
  <c r="D5" i="24"/>
  <c r="D5" i="23"/>
  <c r="D5" i="22"/>
  <c r="D5" i="21"/>
  <c r="D5" i="20"/>
  <c r="D5" i="19"/>
  <c r="D5" i="18"/>
  <c r="D5" i="16"/>
  <c r="D5" i="14"/>
  <c r="D5" i="13"/>
  <c r="D5" i="11"/>
  <c r="D5" i="10"/>
  <c r="D24" i="6"/>
  <c r="D25" i="6"/>
  <c r="D26" i="6"/>
  <c r="D27" i="6"/>
  <c r="D5" i="9"/>
  <c r="D6" i="9"/>
  <c r="D5" i="8"/>
  <c r="D5" i="7"/>
  <c r="D5" i="26"/>
  <c r="D5" i="27"/>
  <c r="C32" i="29"/>
  <c r="C31" i="29"/>
  <c r="C30" i="29"/>
  <c r="C29" i="29"/>
  <c r="D28" i="29"/>
  <c r="D27" i="29"/>
  <c r="D26" i="29"/>
  <c r="D25" i="29"/>
  <c r="D24" i="29"/>
  <c r="D23" i="29"/>
  <c r="D22" i="29"/>
  <c r="D21" i="29"/>
  <c r="D20" i="29"/>
  <c r="D19" i="29"/>
  <c r="D18" i="29"/>
  <c r="D17" i="29"/>
  <c r="D16" i="29"/>
  <c r="D15" i="29"/>
  <c r="D14" i="29"/>
  <c r="D13" i="29"/>
  <c r="D12" i="29"/>
  <c r="D11" i="29"/>
  <c r="D10" i="29"/>
  <c r="D9" i="29"/>
  <c r="D8" i="29"/>
  <c r="D7" i="29"/>
  <c r="D6" i="29"/>
  <c r="C32" i="28"/>
  <c r="C31" i="28"/>
  <c r="C30" i="28"/>
  <c r="C29" i="28"/>
  <c r="D28" i="28"/>
  <c r="D27" i="28"/>
  <c r="D26" i="28"/>
  <c r="D25" i="28"/>
  <c r="D24" i="28"/>
  <c r="D23" i="28"/>
  <c r="D22" i="28"/>
  <c r="D21" i="28"/>
  <c r="D20" i="28"/>
  <c r="D19" i="28"/>
  <c r="D18" i="28"/>
  <c r="D17" i="28"/>
  <c r="D16" i="28"/>
  <c r="D15" i="28"/>
  <c r="D14" i="28"/>
  <c r="D13" i="28"/>
  <c r="D12" i="28"/>
  <c r="D11" i="28"/>
  <c r="D10" i="28"/>
  <c r="D9" i="28"/>
  <c r="D8" i="28"/>
  <c r="D7" i="28"/>
  <c r="D6" i="28"/>
  <c r="D6" i="26"/>
  <c r="C32" i="27"/>
  <c r="C31" i="27"/>
  <c r="C30" i="27"/>
  <c r="C29" i="27"/>
  <c r="D28" i="27"/>
  <c r="D27" i="27"/>
  <c r="D26" i="27"/>
  <c r="D25" i="27"/>
  <c r="D24" i="27"/>
  <c r="D23" i="27"/>
  <c r="D22" i="27"/>
  <c r="D21" i="27"/>
  <c r="D20" i="27"/>
  <c r="D19" i="27"/>
  <c r="D18" i="27"/>
  <c r="D17" i="27"/>
  <c r="D16" i="27"/>
  <c r="D15" i="27"/>
  <c r="D14" i="27"/>
  <c r="D13" i="27"/>
  <c r="D12" i="27"/>
  <c r="D11" i="27"/>
  <c r="D10" i="27"/>
  <c r="D9" i="27"/>
  <c r="D8" i="27"/>
  <c r="D7" i="27"/>
  <c r="D6" i="27"/>
  <c r="C32" i="26"/>
  <c r="C31" i="26"/>
  <c r="C30" i="26"/>
  <c r="C29" i="26"/>
  <c r="D28" i="26"/>
  <c r="D27" i="26"/>
  <c r="D26" i="26"/>
  <c r="D25" i="26"/>
  <c r="D24" i="26"/>
  <c r="D23" i="26"/>
  <c r="D22" i="26"/>
  <c r="D21" i="26"/>
  <c r="D20" i="26"/>
  <c r="D19" i="26"/>
  <c r="D18" i="26"/>
  <c r="D17" i="26"/>
  <c r="D16" i="26"/>
  <c r="D15" i="26"/>
  <c r="D14" i="26"/>
  <c r="D13" i="26"/>
  <c r="D12" i="26"/>
  <c r="D11" i="26"/>
  <c r="D10" i="26"/>
  <c r="D9" i="26"/>
  <c r="D8" i="26"/>
  <c r="D7" i="26"/>
  <c r="C32" i="25"/>
  <c r="C31" i="25"/>
  <c r="C30" i="25"/>
  <c r="C29" i="25"/>
  <c r="D28" i="25"/>
  <c r="D27" i="25"/>
  <c r="D26" i="25"/>
  <c r="D25" i="25"/>
  <c r="D24" i="25"/>
  <c r="D23" i="25"/>
  <c r="D22" i="25"/>
  <c r="D21" i="25"/>
  <c r="D20" i="25"/>
  <c r="D19" i="25"/>
  <c r="D18" i="25"/>
  <c r="D17" i="25"/>
  <c r="D16" i="25"/>
  <c r="D15" i="25"/>
  <c r="D14" i="25"/>
  <c r="D13" i="25"/>
  <c r="D12" i="25"/>
  <c r="D11" i="25"/>
  <c r="D10" i="25"/>
  <c r="D9" i="25"/>
  <c r="D8" i="25"/>
  <c r="D7" i="25"/>
  <c r="D6" i="25"/>
  <c r="E5" i="25"/>
  <c r="C32" i="24"/>
  <c r="C31" i="24"/>
  <c r="C30" i="24"/>
  <c r="C29" i="24"/>
  <c r="D28" i="24"/>
  <c r="D27" i="24"/>
  <c r="D26" i="24"/>
  <c r="D25" i="24"/>
  <c r="D24" i="24"/>
  <c r="D23" i="24"/>
  <c r="D22" i="24"/>
  <c r="D21" i="24"/>
  <c r="D20" i="24"/>
  <c r="D19" i="24"/>
  <c r="D18" i="24"/>
  <c r="D17" i="24"/>
  <c r="D16" i="24"/>
  <c r="D15" i="24"/>
  <c r="D14" i="24"/>
  <c r="D13" i="24"/>
  <c r="D12" i="24"/>
  <c r="D11" i="24"/>
  <c r="D10" i="24"/>
  <c r="D9" i="24"/>
  <c r="D8" i="24"/>
  <c r="D7" i="24"/>
  <c r="D6" i="24"/>
  <c r="E5" i="24"/>
  <c r="D32" i="29" l="1"/>
  <c r="D30" i="29"/>
  <c r="D31" i="29"/>
  <c r="E5" i="29"/>
  <c r="D29" i="29"/>
  <c r="D32" i="28"/>
  <c r="D30" i="28"/>
  <c r="D31" i="28"/>
  <c r="E5" i="28"/>
  <c r="D29" i="28"/>
  <c r="D32" i="27"/>
  <c r="D30" i="27"/>
  <c r="D31" i="27"/>
  <c r="D29" i="27"/>
  <c r="E5" i="27"/>
  <c r="E6" i="27" s="1"/>
  <c r="E7" i="27" s="1"/>
  <c r="E8" i="27" s="1"/>
  <c r="E9" i="27" s="1"/>
  <c r="E10" i="27" s="1"/>
  <c r="E11" i="27" s="1"/>
  <c r="E12" i="27" s="1"/>
  <c r="E13" i="27" s="1"/>
  <c r="E14" i="27" s="1"/>
  <c r="E15" i="27" s="1"/>
  <c r="E16" i="27" s="1"/>
  <c r="E17" i="27" s="1"/>
  <c r="E18" i="27" s="1"/>
  <c r="E19" i="27" s="1"/>
  <c r="E20" i="27" s="1"/>
  <c r="E21" i="27" s="1"/>
  <c r="E22" i="27" s="1"/>
  <c r="E23" i="27" s="1"/>
  <c r="E24" i="27" s="1"/>
  <c r="E25" i="27" s="1"/>
  <c r="E26" i="27" s="1"/>
  <c r="E27" i="27" s="1"/>
  <c r="E28" i="27" s="1"/>
  <c r="D32" i="26"/>
  <c r="D30" i="26"/>
  <c r="E5" i="26"/>
  <c r="E6" i="26" s="1"/>
  <c r="E7" i="26" s="1"/>
  <c r="E8" i="26" s="1"/>
  <c r="E9" i="26" s="1"/>
  <c r="E10" i="26" s="1"/>
  <c r="E11" i="26" s="1"/>
  <c r="E12" i="26" s="1"/>
  <c r="E13" i="26" s="1"/>
  <c r="E14" i="26" s="1"/>
  <c r="E15" i="26" s="1"/>
  <c r="E16" i="26" s="1"/>
  <c r="E17" i="26" s="1"/>
  <c r="E18" i="26" s="1"/>
  <c r="E19" i="26" s="1"/>
  <c r="E20" i="26" s="1"/>
  <c r="E21" i="26" s="1"/>
  <c r="E22" i="26" s="1"/>
  <c r="E23" i="26" s="1"/>
  <c r="E24" i="26" s="1"/>
  <c r="E25" i="26" s="1"/>
  <c r="E26" i="26" s="1"/>
  <c r="E27" i="26" s="1"/>
  <c r="E28" i="26" s="1"/>
  <c r="D31" i="26"/>
  <c r="D29" i="26"/>
  <c r="E6" i="25"/>
  <c r="D30" i="25"/>
  <c r="D31" i="25"/>
  <c r="D29" i="25"/>
  <c r="D32" i="25"/>
  <c r="E6" i="24"/>
  <c r="E7" i="24" s="1"/>
  <c r="E8" i="24" s="1"/>
  <c r="E9" i="24" s="1"/>
  <c r="D30" i="24"/>
  <c r="D31" i="24"/>
  <c r="D29" i="24"/>
  <c r="D32" i="24"/>
  <c r="E6" i="29" l="1"/>
  <c r="E7" i="29" s="1"/>
  <c r="E8" i="29" s="1"/>
  <c r="E9" i="29" s="1"/>
  <c r="E10" i="29" s="1"/>
  <c r="E11" i="29" s="1"/>
  <c r="E12" i="29" s="1"/>
  <c r="E13" i="29" s="1"/>
  <c r="E14" i="29" s="1"/>
  <c r="E15" i="29" s="1"/>
  <c r="E16" i="29" s="1"/>
  <c r="E17" i="29" s="1"/>
  <c r="E18" i="29" s="1"/>
  <c r="E19" i="29" s="1"/>
  <c r="E20" i="29" s="1"/>
  <c r="E21" i="29" s="1"/>
  <c r="E22" i="29" s="1"/>
  <c r="E23" i="29" s="1"/>
  <c r="E24" i="29" s="1"/>
  <c r="E25" i="29" s="1"/>
  <c r="E26" i="29" s="1"/>
  <c r="E27" i="29" s="1"/>
  <c r="E28" i="29" s="1"/>
  <c r="E29" i="29" s="1"/>
  <c r="E6" i="28"/>
  <c r="E7" i="28" s="1"/>
  <c r="E8" i="28" s="1"/>
  <c r="E9" i="28" s="1"/>
  <c r="E10" i="28" s="1"/>
  <c r="E11" i="28" s="1"/>
  <c r="E12" i="28" s="1"/>
  <c r="E13" i="28" s="1"/>
  <c r="E14" i="28" s="1"/>
  <c r="E15" i="28" s="1"/>
  <c r="E16" i="28" s="1"/>
  <c r="E17" i="28" s="1"/>
  <c r="E18" i="28" s="1"/>
  <c r="E19" i="28" s="1"/>
  <c r="E20" i="28" s="1"/>
  <c r="E21" i="28" s="1"/>
  <c r="E22" i="28" s="1"/>
  <c r="E23" i="28" s="1"/>
  <c r="E24" i="28" s="1"/>
  <c r="E25" i="28" s="1"/>
  <c r="E26" i="28" s="1"/>
  <c r="E27" i="28" s="1"/>
  <c r="E28" i="28" s="1"/>
  <c r="E32" i="27"/>
  <c r="E29" i="27"/>
  <c r="E31" i="27"/>
  <c r="E30" i="27"/>
  <c r="E32" i="26"/>
  <c r="E29" i="26"/>
  <c r="E31" i="26"/>
  <c r="E30" i="26"/>
  <c r="E7" i="25"/>
  <c r="E10" i="24"/>
  <c r="E11" i="24" s="1"/>
  <c r="E12" i="24" s="1"/>
  <c r="E13" i="24" s="1"/>
  <c r="E14" i="24" s="1"/>
  <c r="E15" i="24" s="1"/>
  <c r="E16" i="24" s="1"/>
  <c r="E17" i="24" s="1"/>
  <c r="E18" i="24" s="1"/>
  <c r="E19" i="24" s="1"/>
  <c r="E20" i="24" s="1"/>
  <c r="E21" i="24" s="1"/>
  <c r="E22" i="24" s="1"/>
  <c r="E23" i="24" s="1"/>
  <c r="E24" i="24" s="1"/>
  <c r="E25" i="24" s="1"/>
  <c r="E26" i="24" s="1"/>
  <c r="E27" i="24" s="1"/>
  <c r="E28" i="24" s="1"/>
  <c r="E30" i="29" l="1"/>
  <c r="E31" i="29"/>
  <c r="E32" i="29"/>
  <c r="E30" i="28"/>
  <c r="E31" i="28"/>
  <c r="E29" i="28"/>
  <c r="E32" i="28"/>
  <c r="E8" i="25"/>
  <c r="E30" i="24"/>
  <c r="E29" i="24"/>
  <c r="E32" i="24"/>
  <c r="E31" i="24"/>
  <c r="E9" i="25" l="1"/>
  <c r="E10" i="25" l="1"/>
  <c r="E11" i="25" l="1"/>
  <c r="E12" i="25" s="1"/>
  <c r="E13" i="25" s="1"/>
  <c r="E14" i="25" s="1"/>
  <c r="E15" i="25" s="1"/>
  <c r="E16" i="25" s="1"/>
  <c r="E17" i="25" s="1"/>
  <c r="E18" i="25" s="1"/>
  <c r="E19" i="25" s="1"/>
  <c r="E20" i="25" s="1"/>
  <c r="E21" i="25" s="1"/>
  <c r="E22" i="25" s="1"/>
  <c r="E23" i="25" s="1"/>
  <c r="E24" i="25" s="1"/>
  <c r="E25" i="25" s="1"/>
  <c r="E26" i="25" s="1"/>
  <c r="E27" i="25" s="1"/>
  <c r="E28" i="25" s="1"/>
  <c r="E29" i="25" s="1"/>
  <c r="E30" i="25" l="1"/>
  <c r="E31" i="25"/>
  <c r="E32" i="25"/>
  <c r="C32" i="23" l="1"/>
  <c r="C31" i="23"/>
  <c r="C30" i="23"/>
  <c r="C29" i="23"/>
  <c r="D28" i="23"/>
  <c r="D27" i="23"/>
  <c r="D26" i="23"/>
  <c r="D25" i="23"/>
  <c r="D24" i="23"/>
  <c r="D23" i="23"/>
  <c r="D22" i="23"/>
  <c r="D21" i="23"/>
  <c r="D20" i="23"/>
  <c r="D19" i="23"/>
  <c r="D18" i="23"/>
  <c r="D17" i="23"/>
  <c r="D16" i="23"/>
  <c r="D15" i="23"/>
  <c r="D14" i="23"/>
  <c r="D13" i="23"/>
  <c r="D12" i="23"/>
  <c r="D11" i="23"/>
  <c r="D10" i="23"/>
  <c r="D9" i="23"/>
  <c r="D8" i="23"/>
  <c r="D7" i="23"/>
  <c r="D6" i="23"/>
  <c r="E5" i="23"/>
  <c r="C32" i="22"/>
  <c r="C31" i="22"/>
  <c r="C30" i="22"/>
  <c r="C29" i="22"/>
  <c r="D28" i="22"/>
  <c r="D27" i="22"/>
  <c r="D26" i="22"/>
  <c r="D25" i="22"/>
  <c r="D24" i="22"/>
  <c r="D23" i="22"/>
  <c r="D22" i="22"/>
  <c r="D21" i="22"/>
  <c r="D20" i="22"/>
  <c r="D19" i="22"/>
  <c r="D18" i="22"/>
  <c r="D17" i="22"/>
  <c r="D16" i="22"/>
  <c r="D15" i="22"/>
  <c r="D14" i="22"/>
  <c r="D13" i="22"/>
  <c r="D12" i="22"/>
  <c r="D11" i="22"/>
  <c r="D10" i="22"/>
  <c r="D9" i="22"/>
  <c r="D8" i="22"/>
  <c r="D7" i="22"/>
  <c r="D6" i="22"/>
  <c r="E6" i="23" l="1"/>
  <c r="E7" i="23" s="1"/>
  <c r="E8" i="23" s="1"/>
  <c r="E9" i="23" s="1"/>
  <c r="D30" i="23"/>
  <c r="D31" i="23"/>
  <c r="D29" i="23"/>
  <c r="D32" i="23"/>
  <c r="D29" i="22"/>
  <c r="D32" i="22"/>
  <c r="E5" i="22"/>
  <c r="D30" i="22"/>
  <c r="D31" i="22"/>
  <c r="E6" i="22"/>
  <c r="E7" i="22" s="1"/>
  <c r="E8" i="22" s="1"/>
  <c r="E9" i="22" s="1"/>
  <c r="E10" i="22" s="1"/>
  <c r="E11" i="22" s="1"/>
  <c r="E12" i="22" s="1"/>
  <c r="E13" i="22" s="1"/>
  <c r="E14" i="22" s="1"/>
  <c r="E15" i="22" s="1"/>
  <c r="E16" i="22" s="1"/>
  <c r="E17" i="22" s="1"/>
  <c r="E18" i="22" s="1"/>
  <c r="E19" i="22" s="1"/>
  <c r="E20" i="22" s="1"/>
  <c r="E21" i="22" s="1"/>
  <c r="E22" i="22" s="1"/>
  <c r="E23" i="22" s="1"/>
  <c r="E24" i="22" s="1"/>
  <c r="E25" i="22" s="1"/>
  <c r="E26" i="22" s="1"/>
  <c r="E27" i="22" s="1"/>
  <c r="E28" i="22" s="1"/>
  <c r="D16" i="21"/>
  <c r="C32" i="21"/>
  <c r="C31" i="21"/>
  <c r="C30" i="21"/>
  <c r="C29" i="21"/>
  <c r="D28" i="21"/>
  <c r="D27" i="21"/>
  <c r="D26" i="21"/>
  <c r="D25" i="21"/>
  <c r="D24" i="21"/>
  <c r="D23" i="21"/>
  <c r="D22" i="21"/>
  <c r="D21" i="21"/>
  <c r="D20" i="21"/>
  <c r="D19" i="21"/>
  <c r="D18" i="21"/>
  <c r="D17" i="21"/>
  <c r="D15" i="21"/>
  <c r="D14" i="21"/>
  <c r="D13" i="21"/>
  <c r="D12" i="21"/>
  <c r="D11" i="21"/>
  <c r="D10" i="21"/>
  <c r="D9" i="21"/>
  <c r="D8" i="21"/>
  <c r="D7" i="21"/>
  <c r="D6" i="21"/>
  <c r="E10" i="23" l="1"/>
  <c r="E11" i="23" s="1"/>
  <c r="E12" i="23" s="1"/>
  <c r="E13" i="23" s="1"/>
  <c r="E14" i="23" s="1"/>
  <c r="E15" i="23" s="1"/>
  <c r="E16" i="23" s="1"/>
  <c r="E17" i="23" s="1"/>
  <c r="E18" i="23" s="1"/>
  <c r="E19" i="23" s="1"/>
  <c r="E20" i="23" s="1"/>
  <c r="E21" i="23" s="1"/>
  <c r="E22" i="23" s="1"/>
  <c r="E23" i="23" s="1"/>
  <c r="E24" i="23" s="1"/>
  <c r="E25" i="23" s="1"/>
  <c r="E26" i="23" s="1"/>
  <c r="E27" i="23" s="1"/>
  <c r="E28" i="23" s="1"/>
  <c r="E31" i="22"/>
  <c r="E29" i="22"/>
  <c r="E30" i="22"/>
  <c r="E32" i="22"/>
  <c r="D32" i="21"/>
  <c r="D30" i="21"/>
  <c r="D31" i="21"/>
  <c r="D29" i="21"/>
  <c r="E5" i="21"/>
  <c r="E32" i="23" l="1"/>
  <c r="E31" i="23"/>
  <c r="E30" i="23"/>
  <c r="E29" i="23"/>
  <c r="E6" i="21"/>
  <c r="E7" i="21" s="1"/>
  <c r="E8" i="21" s="1"/>
  <c r="E9" i="21" s="1"/>
  <c r="E10" i="21" s="1"/>
  <c r="E11" i="21" s="1"/>
  <c r="E12" i="21" s="1"/>
  <c r="E13" i="21" s="1"/>
  <c r="E14" i="21" s="1"/>
  <c r="E15" i="21" s="1"/>
  <c r="E16" i="21" s="1"/>
  <c r="E17" i="21" s="1"/>
  <c r="E18" i="21" s="1"/>
  <c r="E19" i="21" s="1"/>
  <c r="E20" i="21" s="1"/>
  <c r="E21" i="21" s="1"/>
  <c r="E22" i="21" s="1"/>
  <c r="E23" i="21" s="1"/>
  <c r="E24" i="21" s="1"/>
  <c r="E25" i="21" s="1"/>
  <c r="E26" i="21" s="1"/>
  <c r="E27" i="21" s="1"/>
  <c r="E28" i="21" s="1"/>
  <c r="E30" i="21" l="1"/>
  <c r="E29" i="21"/>
  <c r="E31" i="21"/>
  <c r="E32" i="21"/>
  <c r="C32" i="20" l="1"/>
  <c r="C31" i="20"/>
  <c r="C30" i="20"/>
  <c r="C29" i="20"/>
  <c r="D28" i="20"/>
  <c r="D27" i="20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E5" i="20"/>
  <c r="C32" i="19"/>
  <c r="C31" i="19"/>
  <c r="C30" i="19"/>
  <c r="C29" i="19"/>
  <c r="D28" i="19"/>
  <c r="D27" i="19"/>
  <c r="D26" i="19"/>
  <c r="D25" i="19"/>
  <c r="D24" i="19"/>
  <c r="D23" i="19"/>
  <c r="D22" i="19"/>
  <c r="D21" i="19"/>
  <c r="D20" i="19"/>
  <c r="D19" i="19"/>
  <c r="D18" i="19"/>
  <c r="D17" i="19"/>
  <c r="D16" i="19"/>
  <c r="D15" i="19"/>
  <c r="D14" i="19"/>
  <c r="D13" i="19"/>
  <c r="D12" i="19"/>
  <c r="D11" i="19"/>
  <c r="D10" i="19"/>
  <c r="D9" i="19"/>
  <c r="D8" i="19"/>
  <c r="D7" i="19"/>
  <c r="D6" i="19"/>
  <c r="D18" i="14"/>
  <c r="E6" i="20" l="1"/>
  <c r="E7" i="20" s="1"/>
  <c r="E8" i="20" s="1"/>
  <c r="E9" i="20" s="1"/>
  <c r="E10" i="20" s="1"/>
  <c r="E11" i="20" s="1"/>
  <c r="E12" i="20" s="1"/>
  <c r="E13" i="20" s="1"/>
  <c r="E14" i="20" s="1"/>
  <c r="E15" i="20" s="1"/>
  <c r="E16" i="20" s="1"/>
  <c r="E17" i="20" s="1"/>
  <c r="E18" i="20" s="1"/>
  <c r="E19" i="20" s="1"/>
  <c r="E20" i="20" s="1"/>
  <c r="E21" i="20" s="1"/>
  <c r="E22" i="20" s="1"/>
  <c r="E23" i="20" s="1"/>
  <c r="E24" i="20" s="1"/>
  <c r="E25" i="20" s="1"/>
  <c r="E26" i="20" s="1"/>
  <c r="E27" i="20" s="1"/>
  <c r="E28" i="20" s="1"/>
  <c r="D30" i="20"/>
  <c r="D31" i="20"/>
  <c r="D29" i="20"/>
  <c r="D32" i="20"/>
  <c r="D32" i="19"/>
  <c r="D30" i="19"/>
  <c r="E5" i="19"/>
  <c r="E6" i="19" s="1"/>
  <c r="E7" i="19" s="1"/>
  <c r="E8" i="19" s="1"/>
  <c r="E9" i="19" s="1"/>
  <c r="E10" i="19" s="1"/>
  <c r="E11" i="19" s="1"/>
  <c r="E12" i="19" s="1"/>
  <c r="E13" i="19" s="1"/>
  <c r="E14" i="19" s="1"/>
  <c r="E15" i="19" s="1"/>
  <c r="E16" i="19" s="1"/>
  <c r="E17" i="19" s="1"/>
  <c r="E18" i="19" s="1"/>
  <c r="E19" i="19" s="1"/>
  <c r="E20" i="19" s="1"/>
  <c r="E21" i="19" s="1"/>
  <c r="E22" i="19" s="1"/>
  <c r="E23" i="19" s="1"/>
  <c r="E24" i="19" s="1"/>
  <c r="E25" i="19" s="1"/>
  <c r="E26" i="19" s="1"/>
  <c r="E27" i="19" s="1"/>
  <c r="E28" i="19" s="1"/>
  <c r="D31" i="19"/>
  <c r="D29" i="19"/>
  <c r="C32" i="18"/>
  <c r="C31" i="18"/>
  <c r="C30" i="18"/>
  <c r="C29" i="18"/>
  <c r="D28" i="18"/>
  <c r="D27" i="18"/>
  <c r="D26" i="18"/>
  <c r="D25" i="18"/>
  <c r="D24" i="18"/>
  <c r="D23" i="18"/>
  <c r="D22" i="18"/>
  <c r="D21" i="18"/>
  <c r="D20" i="18"/>
  <c r="D19" i="18"/>
  <c r="D18" i="18"/>
  <c r="D17" i="18"/>
  <c r="D16" i="18"/>
  <c r="D15" i="18"/>
  <c r="D14" i="18"/>
  <c r="D13" i="18"/>
  <c r="D12" i="18"/>
  <c r="D11" i="18"/>
  <c r="D10" i="18"/>
  <c r="D9" i="18"/>
  <c r="D8" i="18"/>
  <c r="D7" i="18"/>
  <c r="D6" i="18"/>
  <c r="C32" i="16"/>
  <c r="C31" i="16"/>
  <c r="C30" i="16"/>
  <c r="C29" i="16"/>
  <c r="D28" i="16"/>
  <c r="D27" i="16"/>
  <c r="D26" i="16"/>
  <c r="D25" i="16"/>
  <c r="D24" i="16"/>
  <c r="D23" i="16"/>
  <c r="D22" i="16"/>
  <c r="D21" i="16"/>
  <c r="D20" i="16"/>
  <c r="D19" i="16"/>
  <c r="D18" i="16"/>
  <c r="D17" i="16"/>
  <c r="D16" i="16"/>
  <c r="D15" i="16"/>
  <c r="D14" i="16"/>
  <c r="D13" i="16"/>
  <c r="D12" i="16"/>
  <c r="D11" i="16"/>
  <c r="D10" i="16"/>
  <c r="D9" i="16"/>
  <c r="D8" i="16"/>
  <c r="D7" i="16"/>
  <c r="D6" i="16"/>
  <c r="E30" i="20" l="1"/>
  <c r="E31" i="20"/>
  <c r="E29" i="20"/>
  <c r="E32" i="20"/>
  <c r="E32" i="19"/>
  <c r="E29" i="19"/>
  <c r="E31" i="19"/>
  <c r="E30" i="19"/>
  <c r="D32" i="18"/>
  <c r="D30" i="18"/>
  <c r="D31" i="18"/>
  <c r="E5" i="18"/>
  <c r="E6" i="18" s="1"/>
  <c r="E7" i="18" s="1"/>
  <c r="E8" i="18" s="1"/>
  <c r="E9" i="18" s="1"/>
  <c r="E10" i="18" s="1"/>
  <c r="E11" i="18" s="1"/>
  <c r="E12" i="18" s="1"/>
  <c r="E13" i="18" s="1"/>
  <c r="E14" i="18" s="1"/>
  <c r="E15" i="18" s="1"/>
  <c r="E16" i="18" s="1"/>
  <c r="E17" i="18" s="1"/>
  <c r="E18" i="18" s="1"/>
  <c r="E19" i="18" s="1"/>
  <c r="E20" i="18" s="1"/>
  <c r="E21" i="18" s="1"/>
  <c r="E22" i="18" s="1"/>
  <c r="E23" i="18" s="1"/>
  <c r="E24" i="18" s="1"/>
  <c r="E25" i="18" s="1"/>
  <c r="E26" i="18" s="1"/>
  <c r="E27" i="18" s="1"/>
  <c r="E28" i="18" s="1"/>
  <c r="D29" i="18"/>
  <c r="D32" i="16"/>
  <c r="D30" i="16"/>
  <c r="D31" i="16"/>
  <c r="E5" i="16"/>
  <c r="E6" i="16" s="1"/>
  <c r="E7" i="16" s="1"/>
  <c r="E8" i="16" s="1"/>
  <c r="E9" i="16" s="1"/>
  <c r="E10" i="16" s="1"/>
  <c r="E11" i="16" s="1"/>
  <c r="E12" i="16" s="1"/>
  <c r="E13" i="16" s="1"/>
  <c r="E14" i="16" s="1"/>
  <c r="E15" i="16" s="1"/>
  <c r="E16" i="16" s="1"/>
  <c r="E17" i="16" s="1"/>
  <c r="E18" i="16" s="1"/>
  <c r="E19" i="16" s="1"/>
  <c r="E20" i="16" s="1"/>
  <c r="E21" i="16" s="1"/>
  <c r="E22" i="16" s="1"/>
  <c r="E23" i="16" s="1"/>
  <c r="E24" i="16" s="1"/>
  <c r="E25" i="16" s="1"/>
  <c r="E26" i="16" s="1"/>
  <c r="E27" i="16" s="1"/>
  <c r="E28" i="16" s="1"/>
  <c r="D29" i="16"/>
  <c r="E32" i="18" l="1"/>
  <c r="E29" i="18"/>
  <c r="E31" i="18"/>
  <c r="E30" i="18"/>
  <c r="E32" i="16"/>
  <c r="E29" i="16"/>
  <c r="E31" i="16"/>
  <c r="E30" i="16"/>
  <c r="C32" i="14" l="1"/>
  <c r="C31" i="14"/>
  <c r="C30" i="14"/>
  <c r="C29" i="14"/>
  <c r="D28" i="14"/>
  <c r="D27" i="14"/>
  <c r="D26" i="14"/>
  <c r="D25" i="14"/>
  <c r="D24" i="14"/>
  <c r="D23" i="14"/>
  <c r="D22" i="14"/>
  <c r="D21" i="14"/>
  <c r="D20" i="14"/>
  <c r="D19" i="14"/>
  <c r="D17" i="14"/>
  <c r="D16" i="14"/>
  <c r="D15" i="14"/>
  <c r="D14" i="14"/>
  <c r="D13" i="14"/>
  <c r="D12" i="14"/>
  <c r="D11" i="14"/>
  <c r="D10" i="14"/>
  <c r="D9" i="14"/>
  <c r="D8" i="14"/>
  <c r="D7" i="14"/>
  <c r="D6" i="14"/>
  <c r="E5" i="14"/>
  <c r="E6" i="14" l="1"/>
  <c r="E7" i="14" s="1"/>
  <c r="D30" i="14"/>
  <c r="D31" i="14"/>
  <c r="D29" i="14"/>
  <c r="D32" i="14"/>
  <c r="E8" i="14" l="1"/>
  <c r="E9" i="14" s="1"/>
  <c r="E10" i="14" s="1"/>
  <c r="E11" i="14" s="1"/>
  <c r="E12" i="14" s="1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32" i="14" l="1"/>
  <c r="E30" i="14"/>
  <c r="E29" i="14"/>
  <c r="E31" i="14"/>
  <c r="C32" i="13" l="1"/>
  <c r="C31" i="13"/>
  <c r="C30" i="13"/>
  <c r="C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C32" i="11"/>
  <c r="C31" i="11"/>
  <c r="C30" i="11"/>
  <c r="C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C32" i="10"/>
  <c r="C31" i="10"/>
  <c r="C30" i="10"/>
  <c r="C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E5" i="10"/>
  <c r="C32" i="9"/>
  <c r="C31" i="9"/>
  <c r="C30" i="9"/>
  <c r="C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32" i="13" l="1"/>
  <c r="D30" i="13"/>
  <c r="D31" i="13"/>
  <c r="E5" i="13"/>
  <c r="D29" i="13"/>
  <c r="D32" i="11"/>
  <c r="D30" i="11"/>
  <c r="D31" i="11"/>
  <c r="D29" i="11"/>
  <c r="E5" i="11"/>
  <c r="E6" i="11" s="1"/>
  <c r="E7" i="11" s="1"/>
  <c r="E8" i="11" s="1"/>
  <c r="E9" i="11" s="1"/>
  <c r="E10" i="11" s="1"/>
  <c r="E11" i="11" s="1"/>
  <c r="E12" i="11" s="1"/>
  <c r="E13" i="11" s="1"/>
  <c r="E14" i="11" s="1"/>
  <c r="E15" i="11" s="1"/>
  <c r="E16" i="11" s="1"/>
  <c r="E17" i="11" s="1"/>
  <c r="E18" i="11" s="1"/>
  <c r="E19" i="11" s="1"/>
  <c r="E20" i="11" s="1"/>
  <c r="E21" i="11" s="1"/>
  <c r="E22" i="11" s="1"/>
  <c r="E23" i="11" s="1"/>
  <c r="E24" i="11" s="1"/>
  <c r="E25" i="11" s="1"/>
  <c r="E26" i="11" s="1"/>
  <c r="E27" i="11" s="1"/>
  <c r="E28" i="11" s="1"/>
  <c r="E6" i="10"/>
  <c r="D30" i="10"/>
  <c r="D31" i="10"/>
  <c r="D29" i="10"/>
  <c r="D32" i="10"/>
  <c r="D32" i="9"/>
  <c r="E5" i="9"/>
  <c r="D30" i="9"/>
  <c r="D31" i="9"/>
  <c r="D29" i="9"/>
  <c r="E6" i="13" l="1"/>
  <c r="E7" i="13" s="1"/>
  <c r="E32" i="11"/>
  <c r="E29" i="11"/>
  <c r="E31" i="11"/>
  <c r="E30" i="11"/>
  <c r="E7" i="10"/>
  <c r="E6" i="9"/>
  <c r="E7" i="9" s="1"/>
  <c r="E8" i="9" s="1"/>
  <c r="E9" i="9" s="1"/>
  <c r="E10" i="9" s="1"/>
  <c r="E11" i="9" s="1"/>
  <c r="E12" i="9" s="1"/>
  <c r="E13" i="9" s="1"/>
  <c r="E14" i="9" s="1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27" i="9" s="1"/>
  <c r="E28" i="9" s="1"/>
  <c r="E8" i="13" l="1"/>
  <c r="E9" i="13" s="1"/>
  <c r="E8" i="10"/>
  <c r="E9" i="10" s="1"/>
  <c r="E10" i="10" s="1"/>
  <c r="E11" i="10" s="1"/>
  <c r="E12" i="10" s="1"/>
  <c r="E13" i="10" s="1"/>
  <c r="E14" i="10" s="1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E28" i="10" s="1"/>
  <c r="E31" i="9"/>
  <c r="E30" i="9"/>
  <c r="E29" i="9"/>
  <c r="E32" i="9"/>
  <c r="E10" i="13" l="1"/>
  <c r="E11" i="13" s="1"/>
  <c r="E12" i="13" s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/>
  <c r="E30" i="10"/>
  <c r="E32" i="10"/>
  <c r="E29" i="10"/>
  <c r="E31" i="10"/>
  <c r="C32" i="8"/>
  <c r="C31" i="8"/>
  <c r="C30" i="8"/>
  <c r="C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8" i="6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8" i="7"/>
  <c r="C32" i="7"/>
  <c r="C31" i="7"/>
  <c r="C30" i="7"/>
  <c r="C29" i="7"/>
  <c r="D9" i="7"/>
  <c r="D7" i="7"/>
  <c r="D6" i="7"/>
  <c r="D5" i="6"/>
  <c r="E5" i="6" s="1"/>
  <c r="D5" i="5"/>
  <c r="E5" i="5" s="1"/>
  <c r="D8" i="5"/>
  <c r="D7" i="5"/>
  <c r="D6" i="5"/>
  <c r="D19" i="4"/>
  <c r="C32" i="6"/>
  <c r="C31" i="6"/>
  <c r="C30" i="6"/>
  <c r="C29" i="6"/>
  <c r="D9" i="6"/>
  <c r="D8" i="6"/>
  <c r="D7" i="6"/>
  <c r="D6" i="6"/>
  <c r="C32" i="5"/>
  <c r="C31" i="5"/>
  <c r="C30" i="5"/>
  <c r="C29" i="5"/>
  <c r="D9" i="5"/>
  <c r="C32" i="4"/>
  <c r="C31" i="4"/>
  <c r="C30" i="4"/>
  <c r="C29" i="4"/>
  <c r="D28" i="4"/>
  <c r="D27" i="4"/>
  <c r="D26" i="4"/>
  <c r="D25" i="4"/>
  <c r="D24" i="4"/>
  <c r="D23" i="4"/>
  <c r="D22" i="4"/>
  <c r="D21" i="4"/>
  <c r="D20" i="4"/>
  <c r="D17" i="4"/>
  <c r="D16" i="4"/>
  <c r="D15" i="4"/>
  <c r="D14" i="4"/>
  <c r="D13" i="4"/>
  <c r="D12" i="4"/>
  <c r="D11" i="4"/>
  <c r="D10" i="4"/>
  <c r="D9" i="4"/>
  <c r="D8" i="4"/>
  <c r="D7" i="4"/>
  <c r="D6" i="4"/>
  <c r="E5" i="4"/>
  <c r="E30" i="13" l="1"/>
  <c r="E32" i="13"/>
  <c r="E31" i="13"/>
  <c r="D32" i="8"/>
  <c r="D30" i="8"/>
  <c r="E5" i="8"/>
  <c r="D31" i="8"/>
  <c r="D29" i="8"/>
  <c r="D32" i="7"/>
  <c r="D29" i="7"/>
  <c r="E5" i="7"/>
  <c r="D30" i="7"/>
  <c r="D31" i="7"/>
  <c r="D32" i="6"/>
  <c r="D29" i="5"/>
  <c r="D29" i="6"/>
  <c r="E6" i="6"/>
  <c r="D30" i="6"/>
  <c r="D31" i="6"/>
  <c r="E6" i="5"/>
  <c r="D30" i="5"/>
  <c r="D31" i="5"/>
  <c r="D32" i="5"/>
  <c r="D32" i="4"/>
  <c r="D30" i="4"/>
  <c r="E6" i="4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D29" i="4"/>
  <c r="D31" i="4"/>
  <c r="E6" i="8" l="1"/>
  <c r="E7" i="8" s="1"/>
  <c r="E8" i="8" s="1"/>
  <c r="E9" i="8" s="1"/>
  <c r="E10" i="8" s="1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6" i="7"/>
  <c r="E7" i="7" s="1"/>
  <c r="E8" i="7" s="1"/>
  <c r="E9" i="7" s="1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8" i="4"/>
  <c r="E29" i="4" s="1"/>
  <c r="E30" i="4"/>
  <c r="E7" i="6"/>
  <c r="E8" i="6" s="1"/>
  <c r="E9" i="6" s="1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7" i="5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30" i="8" l="1"/>
  <c r="E31" i="8"/>
  <c r="E29" i="8"/>
  <c r="E32" i="8"/>
  <c r="E30" i="7"/>
  <c r="E32" i="7"/>
  <c r="E29" i="7"/>
  <c r="E31" i="7"/>
  <c r="E31" i="6"/>
  <c r="E32" i="6"/>
  <c r="E31" i="4"/>
  <c r="E32" i="4"/>
  <c r="E29" i="6"/>
  <c r="E30" i="6"/>
  <c r="E31" i="5"/>
  <c r="E30" i="5"/>
  <c r="E29" i="5"/>
  <c r="E3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Luz Mery</author>
  </authors>
  <commentList>
    <comment ref="C17" authorId="0" shapeId="0" xr:uid="{B2D72FB5-0FA8-4213-8A8B-6120665C8C35}">
      <text>
        <r>
          <rPr>
            <b/>
            <sz val="9"/>
            <color indexed="81"/>
            <rFont val="Tahoma"/>
            <family val="2"/>
          </rPr>
          <t>Luz Mery:</t>
        </r>
        <r>
          <rPr>
            <sz val="9"/>
            <color indexed="81"/>
            <rFont val="Tahoma"/>
            <family val="2"/>
          </rPr>
          <t xml:space="preserve">
Se realiza instalación de macromedidor</t>
        </r>
      </text>
    </comment>
    <comment ref="C26" authorId="0" shapeId="0" xr:uid="{2BA5BD06-0595-4E55-BB66-5012416C8822}">
      <text>
        <r>
          <rPr>
            <b/>
            <sz val="9"/>
            <color indexed="81"/>
            <rFont val="Tahoma"/>
            <family val="2"/>
          </rPr>
          <t>Luz Mery:</t>
        </r>
        <r>
          <rPr>
            <sz val="9"/>
            <color indexed="81"/>
            <rFont val="Tahoma"/>
            <family val="2"/>
          </rPr>
          <t xml:space="preserve">
Se cierra válvula de suministro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Luz Mery</author>
  </authors>
  <commentList>
    <comment ref="C8" authorId="0" shapeId="0" xr:uid="{A3AE27D4-352F-4C12-BA1C-2D83C6BC9258}">
      <text>
        <r>
          <rPr>
            <b/>
            <sz val="9"/>
            <color indexed="81"/>
            <rFont val="Tahoma"/>
            <family val="2"/>
          </rPr>
          <t>Luz Mery:</t>
        </r>
        <r>
          <rPr>
            <sz val="9"/>
            <color indexed="81"/>
            <rFont val="Tahoma"/>
            <family val="2"/>
          </rPr>
          <t xml:space="preserve">
Se abre válvula de suministro</t>
        </r>
      </text>
    </comment>
    <comment ref="C26" authorId="0" shapeId="0" xr:uid="{FE58C6A1-0FEB-40B2-949C-8D10A1ED18E0}">
      <text>
        <r>
          <rPr>
            <b/>
            <sz val="9"/>
            <color indexed="81"/>
            <rFont val="Tahoma"/>
            <family val="2"/>
          </rPr>
          <t>Luz Mery:</t>
        </r>
        <r>
          <rPr>
            <sz val="9"/>
            <color indexed="81"/>
            <rFont val="Tahoma"/>
            <family val="2"/>
          </rPr>
          <t xml:space="preserve">
Se cierra válvula de suministro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Luz Mery</author>
  </authors>
  <commentList>
    <comment ref="C8" authorId="0" shapeId="0" xr:uid="{3CBE7B10-4216-486B-BAC2-270A94043864}">
      <text>
        <r>
          <rPr>
            <b/>
            <sz val="9"/>
            <color indexed="81"/>
            <rFont val="Tahoma"/>
            <family val="2"/>
          </rPr>
          <t>Luz Mery:</t>
        </r>
        <r>
          <rPr>
            <sz val="9"/>
            <color indexed="81"/>
            <rFont val="Tahoma"/>
            <family val="2"/>
          </rPr>
          <t xml:space="preserve">
Se abre válvula de suministro</t>
        </r>
      </text>
    </comment>
    <comment ref="C26" authorId="0" shapeId="0" xr:uid="{88796939-302D-4A73-B9FF-34CE89CBC09F}">
      <text>
        <r>
          <rPr>
            <b/>
            <sz val="9"/>
            <color indexed="81"/>
            <rFont val="Tahoma"/>
            <family val="2"/>
          </rPr>
          <t>Luz Mery:</t>
        </r>
        <r>
          <rPr>
            <sz val="9"/>
            <color indexed="81"/>
            <rFont val="Tahoma"/>
            <family val="2"/>
          </rPr>
          <t xml:space="preserve">
Se cierra válvula de suministro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Luz Mery</author>
  </authors>
  <commentList>
    <comment ref="C8" authorId="0" shapeId="0" xr:uid="{6684A114-C019-4C6B-B846-A403DE3C2336}">
      <text>
        <r>
          <rPr>
            <b/>
            <sz val="9"/>
            <color indexed="81"/>
            <rFont val="Tahoma"/>
            <family val="2"/>
          </rPr>
          <t>Luz Mery:</t>
        </r>
        <r>
          <rPr>
            <sz val="9"/>
            <color indexed="81"/>
            <rFont val="Tahoma"/>
            <family val="2"/>
          </rPr>
          <t xml:space="preserve">
Se abre válvula de suministro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Luz Mery</author>
    <author>Potabilización MIA</author>
  </authors>
  <commentList>
    <comment ref="C8" authorId="0" shapeId="0" xr:uid="{E5C9986D-A563-416F-ABE2-772A4F33D85B}">
      <text>
        <r>
          <rPr>
            <b/>
            <sz val="9"/>
            <color indexed="81"/>
            <rFont val="Tahoma"/>
            <family val="2"/>
          </rPr>
          <t>Luz Mery:</t>
        </r>
        <r>
          <rPr>
            <sz val="9"/>
            <color indexed="81"/>
            <rFont val="Tahoma"/>
            <family val="2"/>
          </rPr>
          <t xml:space="preserve">
Se abre válvula de suministro</t>
        </r>
      </text>
    </comment>
    <comment ref="C26" authorId="1" shapeId="0" xr:uid="{F9D25B2E-E585-4F3A-8981-EC2B7F1F9F67}">
      <text>
        <r>
          <rPr>
            <b/>
            <sz val="9"/>
            <color indexed="81"/>
            <rFont val="Tahoma"/>
            <family val="2"/>
          </rPr>
          <t>Potabilización MIA:</t>
        </r>
        <r>
          <rPr>
            <sz val="9"/>
            <color indexed="81"/>
            <rFont val="Tahoma"/>
            <family val="2"/>
          </rPr>
          <t xml:space="preserve">
22:00 SE CIERRA VALVULA DE SUMINISTRO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Luz Mery</author>
    <author>Potabilización MIA</author>
  </authors>
  <commentList>
    <comment ref="C8" authorId="0" shapeId="0" xr:uid="{55C7010B-5F97-4B61-A025-FE0FDE609C3C}">
      <text>
        <r>
          <rPr>
            <b/>
            <sz val="9"/>
            <color indexed="81"/>
            <rFont val="Tahoma"/>
            <family val="2"/>
          </rPr>
          <t>Luz Mery:</t>
        </r>
        <r>
          <rPr>
            <sz val="9"/>
            <color indexed="81"/>
            <rFont val="Tahoma"/>
            <family val="2"/>
          </rPr>
          <t xml:space="preserve">
04:00 Se abre válvula de suministro</t>
        </r>
      </text>
    </comment>
    <comment ref="C26" authorId="1" shapeId="0" xr:uid="{77F299D7-0EC1-4A41-A6F4-EEA25AEA9B42}">
      <text>
        <r>
          <rPr>
            <b/>
            <sz val="9"/>
            <color indexed="81"/>
            <rFont val="Tahoma"/>
            <family val="2"/>
          </rPr>
          <t>Potabilización MIA:</t>
        </r>
        <r>
          <rPr>
            <sz val="9"/>
            <color indexed="81"/>
            <rFont val="Tahoma"/>
            <family val="2"/>
          </rPr>
          <t xml:space="preserve">
22:00 SE CIERRA VALVULA DE SUMINISTRO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Luz Mery</author>
    <author>Potabilización MIA</author>
  </authors>
  <commentList>
    <comment ref="C8" authorId="0" shapeId="0" xr:uid="{71FAFC24-AD27-4BCB-8065-EBFF4911B577}">
      <text>
        <r>
          <rPr>
            <b/>
            <sz val="9"/>
            <color indexed="81"/>
            <rFont val="Tahoma"/>
            <family val="2"/>
          </rPr>
          <t>Luz Mery:</t>
        </r>
        <r>
          <rPr>
            <sz val="9"/>
            <color indexed="81"/>
            <rFont val="Tahoma"/>
            <family val="2"/>
          </rPr>
          <t xml:space="preserve">
04:00 Se abre válvula de suministro</t>
        </r>
      </text>
    </comment>
    <comment ref="C26" authorId="1" shapeId="0" xr:uid="{0EDF05E6-B85F-4AFC-9560-8E1D226B7225}">
      <text>
        <r>
          <rPr>
            <b/>
            <sz val="9"/>
            <color indexed="81"/>
            <rFont val="Tahoma"/>
            <family val="2"/>
          </rPr>
          <t>Potabilización MIA:</t>
        </r>
        <r>
          <rPr>
            <sz val="9"/>
            <color indexed="81"/>
            <rFont val="Tahoma"/>
            <family val="2"/>
          </rPr>
          <t xml:space="preserve">
22:00 SE CIERRA VALVULA DE SUMINISTRO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Luz Mery</author>
    <author>Potabilización MIA</author>
  </authors>
  <commentList>
    <comment ref="C8" authorId="0" shapeId="0" xr:uid="{762F8112-3CF6-4A55-8E76-C8A6B7845678}">
      <text>
        <r>
          <rPr>
            <b/>
            <sz val="9"/>
            <color indexed="81"/>
            <rFont val="Tahoma"/>
            <family val="2"/>
          </rPr>
          <t>Luz Mery:</t>
        </r>
        <r>
          <rPr>
            <sz val="9"/>
            <color indexed="81"/>
            <rFont val="Tahoma"/>
            <family val="2"/>
          </rPr>
          <t xml:space="preserve">
04:00 Se abre válvula de suministro</t>
        </r>
      </text>
    </comment>
    <comment ref="C26" authorId="1" shapeId="0" xr:uid="{34BA51FE-3B88-45D2-9A83-867397E3B97D}">
      <text>
        <r>
          <rPr>
            <b/>
            <sz val="9"/>
            <color indexed="81"/>
            <rFont val="Tahoma"/>
            <family val="2"/>
          </rPr>
          <t>Potabilización MIA:</t>
        </r>
        <r>
          <rPr>
            <sz val="9"/>
            <color indexed="81"/>
            <rFont val="Tahoma"/>
            <family val="2"/>
          </rPr>
          <t xml:space="preserve">
22:00 SE CIERRA VALVULA DE SUMINISTRO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Potabilización MIA</author>
  </authors>
  <commentList>
    <comment ref="C8" authorId="0" shapeId="0" xr:uid="{5A1B2D25-DD09-4235-9CF8-E7846276BFBE}">
      <text>
        <r>
          <rPr>
            <b/>
            <sz val="9"/>
            <color indexed="81"/>
            <rFont val="Tahoma"/>
            <family val="2"/>
          </rPr>
          <t>Potabilización MIA:</t>
        </r>
        <r>
          <rPr>
            <sz val="9"/>
            <color indexed="81"/>
            <rFont val="Tahoma"/>
            <family val="2"/>
          </rPr>
          <t xml:space="preserve">
se abre valvula de suministro</t>
        </r>
      </text>
    </comment>
    <comment ref="C9" authorId="0" shapeId="0" xr:uid="{B1046B17-3A74-4716-9C92-475D3381F503}">
      <text>
        <r>
          <rPr>
            <b/>
            <sz val="9"/>
            <color indexed="81"/>
            <rFont val="Tahoma"/>
            <family val="2"/>
          </rPr>
          <t>Potabilización MIA:</t>
        </r>
        <r>
          <rPr>
            <sz val="9"/>
            <color indexed="81"/>
            <rFont val="Tahoma"/>
            <family val="2"/>
          </rPr>
          <t xml:space="preserve">
se toma la primera lectura del dia
</t>
        </r>
      </text>
    </comment>
    <comment ref="C26" authorId="0" shapeId="0" xr:uid="{82EB6D2D-CDCE-4317-9118-779AC4BE9B75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22:00 se cierra suministro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Potabilización MIA</author>
  </authors>
  <commentList>
    <comment ref="C8" authorId="0" shapeId="0" xr:uid="{57E78512-A9D8-4C48-9683-4D2EB2EA56A5}">
      <text>
        <r>
          <rPr>
            <b/>
            <sz val="9"/>
            <color indexed="81"/>
            <rFont val="Tahoma"/>
            <family val="2"/>
          </rPr>
          <t>Potabilización MIA:</t>
        </r>
        <r>
          <rPr>
            <sz val="9"/>
            <color indexed="81"/>
            <rFont val="Tahoma"/>
            <family val="2"/>
          </rPr>
          <t xml:space="preserve">
se abre valvula de suministro</t>
        </r>
      </text>
    </comment>
    <comment ref="C9" authorId="0" shapeId="0" xr:uid="{129328A9-7510-466D-88CA-38CA60BF48F9}">
      <text>
        <r>
          <rPr>
            <b/>
            <sz val="9"/>
            <color indexed="81"/>
            <rFont val="Tahoma"/>
            <family val="2"/>
          </rPr>
          <t>Potabilización MIA:</t>
        </r>
        <r>
          <rPr>
            <sz val="9"/>
            <color indexed="81"/>
            <rFont val="Tahoma"/>
            <family val="2"/>
          </rPr>
          <t xml:space="preserve">
se toma la primera lectura del dia
</t>
        </r>
      </text>
    </comment>
    <comment ref="C26" authorId="0" shapeId="0" xr:uid="{A895118A-A340-4C68-9DFC-151EED9477A5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SE SUSP. SUMINISTRO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Potabilización MIA</author>
  </authors>
  <commentList>
    <comment ref="C8" authorId="0" shapeId="0" xr:uid="{BEADCC46-19CC-495A-8AB5-C326FC82955C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04:00 SE ABRE SUMINISTRO A LOS HOGARES</t>
        </r>
      </text>
    </comment>
    <comment ref="C26" authorId="0" shapeId="0" xr:uid="{A2FDEBA6-4A3B-4A81-B795-E4F76A0FDCA4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22:00 SE SUSP. SUMINISTRO A LOS HOGARES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Potabilización MIA</author>
  </authors>
  <commentList>
    <comment ref="C8" authorId="0" shapeId="0" xr:uid="{9D9F3AE1-B358-4ADF-AFFD-C09DF1B5E5EB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04:00 SE ABRE SUMINISTRO A LOS HOGARES</t>
        </r>
      </text>
    </comment>
    <comment ref="C26" authorId="0" shapeId="0" xr:uid="{CF93328C-E892-4DB4-B5C8-B2501ACBBDCC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22:00 SE SUSP. SUMINISTRO A LOS HOGARES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Potabilización MIA</author>
  </authors>
  <commentList>
    <comment ref="C8" authorId="0" shapeId="0" xr:uid="{C9C5B8E4-0DE9-4EEB-82FD-5895CDEB81D2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04:00 SE ABRE SUMINISTRO A LOS HOGARES</t>
        </r>
      </text>
    </comment>
    <comment ref="C26" authorId="0" shapeId="0" xr:uid="{8DCE0F2C-7894-4078-81C3-F93E5EAF5D9A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22:00 se suspende suministro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Potabilización MIA</author>
  </authors>
  <commentList>
    <comment ref="C8" authorId="0" shapeId="0" xr:uid="{392D9E55-1F96-43BA-84F0-5FDB66371129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04:00 SE ABRE SUMINISTRO A LOS HOGARES</t>
        </r>
      </text>
    </comment>
    <comment ref="C25" authorId="0" shapeId="0" xr:uid="{7042FE1E-9469-448E-A424-44F0473424EB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22:00 se suspende suministro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Potabilización MIA</author>
  </authors>
  <commentList>
    <comment ref="C8" authorId="0" shapeId="0" xr:uid="{EB0D62D6-385D-4DFE-8175-AE6ABA610C81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04:00 SE ABRE SUMINISTRO A LOS HOGARES</t>
        </r>
      </text>
    </comment>
    <comment ref="C26" authorId="0" shapeId="0" xr:uid="{32E3ED19-A568-475E-AE92-B2656E1DEB26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22:00 se suspende suministro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Potabilización MIA</author>
  </authors>
  <commentList>
    <comment ref="C8" authorId="0" shapeId="0" xr:uid="{14C857A4-AA9C-4239-8F44-D9BD648723BE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04:00 SE ABRE SUMINISTRO A LOS HOGARES</t>
        </r>
      </text>
    </comment>
    <comment ref="C26" authorId="0" shapeId="0" xr:uid="{C89E33E5-67DF-4804-A9DC-7EB204F8FF17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22:00 se suspende suministro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Potabilización MIA</author>
  </authors>
  <commentList>
    <comment ref="C8" authorId="0" shapeId="0" xr:uid="{8D6C6DAE-7F04-4196-95E8-535561A9F0F3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04:00 SE ABRE SUMINISTRO A LOS HOGARES</t>
        </r>
      </text>
    </comment>
    <comment ref="C26" authorId="0" shapeId="0" xr:uid="{29512C1B-014B-4EB2-A42F-197DF7181553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22:00 se suspende suministro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Potabilización MIA</author>
  </authors>
  <commentList>
    <comment ref="C8" authorId="0" shapeId="0" xr:uid="{647F8B7D-C6B4-4ADF-B004-CAAEF74E610D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04:00 SE ABRE SUMINISTRO A LOS HOGARES</t>
        </r>
      </text>
    </comment>
    <comment ref="C26" authorId="0" shapeId="0" xr:uid="{378C1620-000F-4765-957A-7A8A75B74E9F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22:00 se suspende suministro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Potabilización MIA</author>
  </authors>
  <commentList>
    <comment ref="C8" authorId="0" shapeId="0" xr:uid="{71C5CD37-EC41-411C-97ED-A9DD4792A997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04:00 SE ABRE SUMINISTRO A LOS HOGARES</t>
        </r>
      </text>
    </comment>
    <comment ref="C26" authorId="0" shapeId="0" xr:uid="{1284A927-C560-44DE-A452-F671B50CE1B5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22:00 se suspende suministro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Potabilización MIA</author>
  </authors>
  <commentList>
    <comment ref="C8" authorId="0" shapeId="0" xr:uid="{F8DC5A42-E495-42D5-8F98-FEC9F8A1E2D6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04:00 SE ABRE SUMINISTRO A LOS HOGARES</t>
        </r>
      </text>
    </comment>
    <comment ref="C26" authorId="0" shapeId="0" xr:uid="{DE5E1958-5C27-4DC1-B5E2-D13EC4232076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22:00 se suspende suministro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Potabilización MIA</author>
  </authors>
  <commentList>
    <comment ref="C8" authorId="0" shapeId="0" xr:uid="{875E8015-EF0D-46CA-8812-E18EC08E56B6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04:00 SE ABRE SUMINISTRO A LOS HOGARES</t>
        </r>
      </text>
    </comment>
    <comment ref="C26" authorId="0" shapeId="0" xr:uid="{E6B1A5B8-B129-4309-9D3D-37452AD95C30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22:00 se suspende suministro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Potabilización MIA</author>
  </authors>
  <commentList>
    <comment ref="C8" authorId="0" shapeId="0" xr:uid="{A5E1079C-FAB7-459E-9ACE-69B49DEAE09C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04:00 SE ABRE SUMINISTRO A LOS HOGARES</t>
        </r>
      </text>
    </comment>
    <comment ref="C26" authorId="0" shapeId="0" xr:uid="{8DCFFB4F-99F6-41D4-9127-64165D4D9294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22:00 se suspende suministro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Potabilización MIA</author>
  </authors>
  <commentList>
    <comment ref="C8" authorId="0" shapeId="0" xr:uid="{99DB8592-EF5D-4281-A5B2-EC0048EA1A9B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04:00 SE ABRE SUMINISTRO A LOS HOGARES</t>
        </r>
      </text>
    </comment>
    <comment ref="C15" authorId="0" shapeId="0" xr:uid="{EFBEAACE-3639-45C7-A268-5342881A359F}">
      <text>
        <r>
          <rPr>
            <b/>
            <sz val="9"/>
            <color indexed="81"/>
            <rFont val="Tahoma"/>
            <family val="2"/>
          </rPr>
          <t>Potabilización MIA:</t>
        </r>
        <r>
          <rPr>
            <sz val="9"/>
            <color indexed="81"/>
            <rFont val="Tahoma"/>
            <family val="2"/>
          </rPr>
          <t xml:space="preserve">
SUSPENSION DE MACRO DE 11:30-12;00 PARA ARREGLO EN TORRE C10</t>
        </r>
      </text>
    </comment>
    <comment ref="C26" authorId="0" shapeId="0" xr:uid="{EDE0BE64-F6B9-47A5-AE15-F5613B665113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22:00 se suspende suministro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Potabilización MIA</author>
  </authors>
  <commentList>
    <comment ref="C5" authorId="0" shapeId="0" xr:uid="{724CC103-2076-4C1E-AC68-BB734B9C5601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22:00 se suspende suministro</t>
        </r>
      </text>
    </comment>
    <comment ref="C6" authorId="0" shapeId="0" xr:uid="{2C22F523-814C-419F-8E37-F2DDADE9BBC9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22:00 se suspende suministro</t>
        </r>
      </text>
    </comment>
    <comment ref="C7" authorId="0" shapeId="0" xr:uid="{FA7E1DC6-E626-4AA9-84FF-ECD9B39A48EF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22:00 se suspende suministro</t>
        </r>
      </text>
    </comment>
    <comment ref="C8" authorId="0" shapeId="0" xr:uid="{7019D04E-75BA-4FA7-8579-888D97CE1669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22:00 se suspende suministro</t>
        </r>
      </text>
    </comment>
    <comment ref="C15" authorId="0" shapeId="0" xr:uid="{BF396AA0-EF76-47ED-9668-5B2754CF1859}">
      <text>
        <r>
          <rPr>
            <b/>
            <sz val="9"/>
            <color indexed="81"/>
            <rFont val="Tahoma"/>
            <family val="2"/>
          </rPr>
          <t>Potabilización MIA:</t>
        </r>
        <r>
          <rPr>
            <sz val="9"/>
            <color indexed="81"/>
            <rFont val="Tahoma"/>
            <family val="2"/>
          </rPr>
          <t xml:space="preserve">
SUSPENSION DE MACRO DE 11:30-12;00 PARA ARREGLO EN TORRE C10</t>
        </r>
      </text>
    </comment>
    <comment ref="C26" authorId="0" shapeId="0" xr:uid="{687E9BC9-849A-4BF4-9462-FD725A768BFB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22:00 se suspende suministro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Potabilización MIA</author>
  </authors>
  <commentList>
    <comment ref="C5" authorId="0" shapeId="0" xr:uid="{51CB7D5F-1185-4E96-8467-5A00CBE1CD3E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22:00 se suspende suministro</t>
        </r>
      </text>
    </comment>
    <comment ref="C6" authorId="0" shapeId="0" xr:uid="{00F8F5AC-DFB1-4B4E-B34A-C91A6A402B0D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22:00 se suspende suministro</t>
        </r>
      </text>
    </comment>
    <comment ref="C7" authorId="0" shapeId="0" xr:uid="{C49F1C48-51B1-44E4-AD4E-FD819D4E4633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22:00 se suspende suministro</t>
        </r>
      </text>
    </comment>
    <comment ref="C8" authorId="0" shapeId="0" xr:uid="{F666AC33-21DF-42E5-985B-3434263034AD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22:00 se suspende suministro</t>
        </r>
      </text>
    </comment>
    <comment ref="C26" authorId="0" shapeId="0" xr:uid="{FEEEF526-B1E6-44F9-9C2E-96437EF8A828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22:00 se suspende suministro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Potabilización MIA</author>
  </authors>
  <commentList>
    <comment ref="C8" authorId="0" shapeId="0" xr:uid="{45C2299F-0B44-4C93-85CD-2F4F8F2F00D0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04:00 se abre suministro</t>
        </r>
      </text>
    </comment>
    <comment ref="C26" authorId="0" shapeId="0" xr:uid="{9680A160-D72A-4FF0-9E8A-E4CD06D68B04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22:00 se suspende suministro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Potabilización MIA</author>
  </authors>
  <commentList>
    <comment ref="C26" authorId="0" shapeId="0" xr:uid="{75F507E0-5CC2-46F2-9D27-CA53B91E2A4C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22:00 se suspende suministro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Potabilización MIA</author>
  </authors>
  <commentList>
    <comment ref="C8" authorId="0" shapeId="0" xr:uid="{CC9C0854-A772-47FD-A2DE-753A9EFFDBEA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04:00 se abre suministro</t>
        </r>
      </text>
    </comment>
    <comment ref="C26" authorId="0" shapeId="0" xr:uid="{7FC9FF43-5C4C-4C71-B751-01A731FBFBC9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22:00 se suspende suministro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Potabilización MIA</author>
  </authors>
  <commentList>
    <comment ref="C8" authorId="0" shapeId="0" xr:uid="{BE2D75C7-2E91-4BF5-AE25-E3FF39C394D3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04:00 se abre suministro</t>
        </r>
      </text>
    </comment>
    <comment ref="C26" authorId="0" shapeId="0" xr:uid="{6B6FC618-B934-4A1F-994D-1E0AF0FAC697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22:00 se suspende suministro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Potabilización MIA</author>
  </authors>
  <commentList>
    <comment ref="C8" authorId="0" shapeId="0" xr:uid="{DBD759F7-C39A-4590-971C-54500257E9A9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04:00 se abre suministro</t>
        </r>
      </text>
    </comment>
    <comment ref="C26" authorId="0" shapeId="0" xr:uid="{65F68CDD-EB35-4B81-A612-83CDB676A2F6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22:00 se suspende suministro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Potabilización MIA</author>
  </authors>
  <commentList>
    <comment ref="C8" authorId="0" shapeId="0" xr:uid="{60766375-FE26-41C1-B5F0-8CC38E1F0DF1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04:00 se abre suministro</t>
        </r>
      </text>
    </comment>
    <comment ref="C26" authorId="0" shapeId="0" xr:uid="{1E730EF2-B8B9-4F6B-8CB4-7DF87FF16001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22:00 se suspende suministro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Potabilización MIA</author>
  </authors>
  <commentList>
    <comment ref="C8" authorId="0" shapeId="0" xr:uid="{7BA56BEE-9979-41A9-B672-0F768A1BF3BB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04:00 se abre suministro</t>
        </r>
      </text>
    </comment>
    <comment ref="C26" authorId="0" shapeId="0" xr:uid="{07FFDD4F-73AB-4A91-9B84-6DC68F8AD19F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22:00 se suspende suministro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Potabilización MIA</author>
  </authors>
  <commentList>
    <comment ref="C8" authorId="0" shapeId="0" xr:uid="{9B7809EB-B0E7-4AE4-91D9-02F4F9FEE4E7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04:00 se abre suministro</t>
        </r>
      </text>
    </comment>
    <comment ref="C26" authorId="0" shapeId="0" xr:uid="{6C04EA26-848D-44A8-B216-6CA426515D03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22:00 se suspende suministro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Potabilización MIA</author>
  </authors>
  <commentList>
    <comment ref="C8" authorId="0" shapeId="0" xr:uid="{10570E54-E58F-4841-BDFF-87AE6AC544F4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04:00 se abre suministro</t>
        </r>
      </text>
    </comment>
    <comment ref="C26" authorId="0" shapeId="0" xr:uid="{441347A0-17E9-45C0-9C05-422359783580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22:00 se suspende suministro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Potabilización MIA</author>
  </authors>
  <commentList>
    <comment ref="C8" authorId="0" shapeId="0" xr:uid="{C8C8B9E2-E71A-4E35-8918-17A7E6B4A498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04:00 se abre suministro</t>
        </r>
      </text>
    </comment>
    <comment ref="C26" authorId="0" shapeId="0" xr:uid="{0D1748F3-B7FF-42FF-83D3-1C4687990541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22:00 se suspende suministro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Potabilización MIA</author>
  </authors>
  <commentList>
    <comment ref="C8" authorId="0" shapeId="0" xr:uid="{6B5C1858-042E-4846-9B3C-67C41575D840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04:00 se abre suministro</t>
        </r>
      </text>
    </comment>
    <comment ref="C26" authorId="0" shapeId="0" xr:uid="{B4FF974B-4230-4298-92A3-2F445C285883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22:00 se suspende suministro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Potabilización MIA</author>
  </authors>
  <commentList>
    <comment ref="C8" authorId="0" shapeId="0" xr:uid="{45BC5696-C758-4749-8361-0B70A7B1FB13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04:00 se abre suministro</t>
        </r>
      </text>
    </comment>
    <comment ref="C26" authorId="0" shapeId="0" xr:uid="{919AB40D-B32A-4CCC-8A54-C8E5D40D0871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22:00 se suspende suministro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Potabilización MIA</author>
  </authors>
  <commentList>
    <comment ref="C8" authorId="0" shapeId="0" xr:uid="{73884A8D-11C1-4B5E-BE2D-D5D0D8FC5B96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04:00 se abre suministro</t>
        </r>
      </text>
    </comment>
    <comment ref="C26" authorId="0" shapeId="0" xr:uid="{19FA14BD-D211-44A2-86AB-C735E4EF165D}">
      <text>
        <r>
          <rPr>
            <b/>
            <sz val="9"/>
            <color indexed="81"/>
            <rFont val="Tahoma"/>
            <charset val="1"/>
          </rPr>
          <t>Potabilización MIA:</t>
        </r>
        <r>
          <rPr>
            <sz val="9"/>
            <color indexed="81"/>
            <rFont val="Tahoma"/>
            <charset val="1"/>
          </rPr>
          <t xml:space="preserve">
22:00 se suspende suministro</t>
        </r>
      </text>
    </comment>
  </commentList>
</comments>
</file>

<file path=xl/sharedStrings.xml><?xml version="1.0" encoding="utf-8"?>
<sst xmlns="http://schemas.openxmlformats.org/spreadsheetml/2006/main" count="536" uniqueCount="16">
  <si>
    <t>DIA</t>
  </si>
  <si>
    <t>Hora</t>
  </si>
  <si>
    <t>LECTURA</t>
  </si>
  <si>
    <t xml:space="preserve"> </t>
  </si>
  <si>
    <t/>
  </si>
  <si>
    <t xml:space="preserve">          </t>
  </si>
  <si>
    <t>MAXIMO</t>
  </si>
  <si>
    <t>MINIMO</t>
  </si>
  <si>
    <t>PROMEDIO</t>
  </si>
  <si>
    <t>TOTAL</t>
  </si>
  <si>
    <t xml:space="preserve">                                                                            </t>
  </si>
  <si>
    <t>consumo acumulado dia</t>
  </si>
  <si>
    <t>REPORTE HORA A HORA  MEDIDOR DE TANQUE ELEVADO</t>
  </si>
  <si>
    <t>CONSOLIDADO (M3)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</si>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</sst>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2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1" fillId="0" borderId="0" xfId="1" applyAlignment="1">
      <alignment vertical="center"/>
    </xf>
    <xf numFmtId="0" fontId="1" fillId="0" borderId="0" xfId="1"/>
    <xf numFmtId="0" fontId="1" fillId="0" borderId="0" xfId="1" quotePrefix="1"/>
    <xf numFmtId="2" fontId="4" fillId="3" borderId="3" xfId="1" applyNumberFormat="1" applyFont="1" applyFill="1" applyBorder="1" applyAlignment="1">
      <alignment horizontal="center"/>
    </xf>
    <xf numFmtId="0" fontId="1" fillId="0" borderId="4" xfId="1" applyBorder="1"/>
    <xf numFmtId="1" fontId="1" fillId="4" borderId="4" xfId="1" applyNumberFormat="1" applyFill="1" applyBorder="1" applyAlignment="1">
      <alignment vertical="center"/>
    </xf>
    <xf numFmtId="1" fontId="3" fillId="5" borderId="4" xfId="1" applyNumberFormat="1" applyFont="1" applyFill="1" applyBorder="1" applyAlignment="1">
      <alignment horizontal="center" vertical="center"/>
    </xf>
    <xf numFmtId="1" fontId="1" fillId="4" borderId="4" xfId="1" applyNumberFormat="1" applyFill="1" applyBorder="1" applyAlignment="1">
      <alignment horizontal="right" vertical="center"/>
    </xf>
    <xf numFmtId="2" fontId="7" fillId="6" borderId="4" xfId="1" applyNumberFormat="1" applyFont="1" applyFill="1" applyBorder="1" applyAlignment="1">
      <alignment horizontal="center" vertical="center"/>
    </xf>
    <xf numFmtId="1" fontId="7" fillId="6" borderId="4" xfId="1" applyNumberFormat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6" fillId="6" borderId="3" xfId="1" applyFont="1" applyFill="1" applyBorder="1" applyAlignment="1">
      <alignment vertical="center"/>
    </xf>
    <xf numFmtId="0" fontId="3" fillId="6" borderId="3" xfId="1" applyFont="1" applyFill="1" applyBorder="1" applyAlignment="1">
      <alignment vertical="center"/>
    </xf>
    <xf numFmtId="14" fontId="6" fillId="6" borderId="10" xfId="1" applyNumberFormat="1" applyFont="1" applyFill="1" applyBorder="1" applyAlignment="1">
      <alignment vertical="center"/>
    </xf>
    <xf numFmtId="1" fontId="7" fillId="6" borderId="11" xfId="1" applyNumberFormat="1" applyFont="1" applyFill="1" applyBorder="1" applyAlignment="1">
      <alignment horizontal="center" vertical="center"/>
    </xf>
    <xf numFmtId="0" fontId="10" fillId="3" borderId="3" xfId="1" applyFont="1" applyFill="1" applyBorder="1" applyAlignment="1">
      <alignment horizontal="center" vertical="center" wrapText="1"/>
    </xf>
    <xf numFmtId="1" fontId="1" fillId="0" borderId="9" xfId="1" applyNumberFormat="1" applyBorder="1" applyAlignment="1">
      <alignment horizontal="center"/>
    </xf>
    <xf numFmtId="0" fontId="1" fillId="2" borderId="8" xfId="1" applyFill="1" applyBorder="1"/>
    <xf numFmtId="0" fontId="10" fillId="2" borderId="4" xfId="1" applyFont="1" applyFill="1" applyBorder="1"/>
    <xf numFmtId="0" fontId="10" fillId="2" borderId="9" xfId="1" applyFont="1" applyFill="1" applyBorder="1"/>
    <xf numFmtId="1" fontId="5" fillId="0" borderId="4" xfId="1" applyNumberFormat="1" applyFont="1" applyBorder="1" applyAlignment="1">
      <alignment vertical="center"/>
    </xf>
    <xf numFmtId="1" fontId="1" fillId="0" borderId="4" xfId="1" applyNumberFormat="1" applyBorder="1" applyAlignment="1">
      <alignment vertical="center"/>
    </xf>
    <xf numFmtId="0" fontId="3" fillId="3" borderId="3" xfId="1" applyFont="1" applyFill="1" applyBorder="1" applyAlignment="1">
      <alignment horizontal="center" vertical="center" wrapText="1"/>
    </xf>
    <xf numFmtId="0" fontId="3" fillId="2" borderId="4" xfId="1" applyFont="1" applyFill="1" applyBorder="1"/>
    <xf numFmtId="0" fontId="3" fillId="2" borderId="9" xfId="1" applyFont="1" applyFill="1" applyBorder="1"/>
    <xf numFmtId="14" fontId="3" fillId="2" borderId="7" xfId="1" applyNumberFormat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68DDCBBE-A821-41A5-B8DC-CBF01C2295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REPORTE CONSUMO</a:t>
            </a:r>
            <a:r>
              <a:rPr lang="es-CO" baseline="0"/>
              <a:t> VS HORA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CONSOLIDADO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'27-ABRIL-2026'!$D$5:$D$28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29-4948-A824-150040D80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719775"/>
        <c:axId val="1210720255"/>
      </c:lineChart>
      <c:catAx>
        <c:axId val="121071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20255"/>
        <c:crosses val="autoZero"/>
        <c:auto val="1"/>
        <c:lblAlgn val="ctr"/>
        <c:lblOffset val="100"/>
        <c:noMultiLvlLbl val="0"/>
      </c:catAx>
      <c:valAx>
        <c:axId val="121072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</a:t>
                </a:r>
                <a:r>
                  <a:rPr lang="es-CO" baseline="0"/>
                  <a:t>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1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REPORTE CONSOLIDADO CONSUMO VS HORA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'27-ABRIL-2026'!$B$4</c:f>
              <c:strCache>
                <c:ptCount val="1"/>
                <c:pt idx="0">
                  <c:v>Hora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'27-ABRIL-2026'!$E$5:$E$28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30</c:v>
                </c:pt>
                <c:pt idx="15">
                  <c:v>60</c:v>
                </c:pt>
                <c:pt idx="16">
                  <c:v>90</c:v>
                </c:pt>
                <c:pt idx="17">
                  <c:v>120</c:v>
                </c:pt>
                <c:pt idx="18">
                  <c:v>150</c:v>
                </c:pt>
                <c:pt idx="19">
                  <c:v>180</c:v>
                </c:pt>
                <c:pt idx="20">
                  <c:v>210</c:v>
                </c:pt>
                <c:pt idx="21">
                  <c:v>240</c:v>
                </c:pt>
                <c:pt idx="22">
                  <c:v>240</c:v>
                </c:pt>
                <c:pt idx="23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E0-44AE-AB68-5145F16CF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952415"/>
        <c:axId val="1898950975"/>
      </c:lineChart>
      <c:catAx>
        <c:axId val="189895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0975"/>
        <c:crosses val="autoZero"/>
        <c:auto val="1"/>
        <c:lblAlgn val="ctr"/>
        <c:lblOffset val="100"/>
        <c:noMultiLvlLbl val="0"/>
      </c:catAx>
      <c:valAx>
        <c:axId val="189895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REPORTE CONSUMO</a:t>
            </a:r>
            <a:r>
              <a:rPr lang="es-CO" baseline="0"/>
              <a:t> VS HORA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CONSOLIDADO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'28-ABRIL-2026'!$D$5:$D$28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30</c:v>
                </c:pt>
                <c:pt idx="8">
                  <c:v>20</c:v>
                </c:pt>
                <c:pt idx="9">
                  <c:v>20</c:v>
                </c:pt>
                <c:pt idx="10">
                  <c:v>30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37-4D95-AF70-7D87B1359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719775"/>
        <c:axId val="1210720255"/>
      </c:lineChart>
      <c:catAx>
        <c:axId val="121071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20255"/>
        <c:crosses val="autoZero"/>
        <c:auto val="1"/>
        <c:lblAlgn val="ctr"/>
        <c:lblOffset val="100"/>
        <c:noMultiLvlLbl val="0"/>
      </c:catAx>
      <c:valAx>
        <c:axId val="121072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</a:t>
                </a:r>
                <a:r>
                  <a:rPr lang="es-CO" baseline="0"/>
                  <a:t>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1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REPORTE CONSOLIDADO CONSUMO VS HORA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'28-ABRIL-2026'!$B$4</c:f>
              <c:strCache>
                <c:ptCount val="1"/>
                <c:pt idx="0">
                  <c:v>Hora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'28-ABRIL-2026'!$E$5:$E$28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40</c:v>
                </c:pt>
                <c:pt idx="6">
                  <c:v>60</c:v>
                </c:pt>
                <c:pt idx="7">
                  <c:v>90</c:v>
                </c:pt>
                <c:pt idx="8">
                  <c:v>110</c:v>
                </c:pt>
                <c:pt idx="9">
                  <c:v>130</c:v>
                </c:pt>
                <c:pt idx="10">
                  <c:v>160</c:v>
                </c:pt>
                <c:pt idx="11">
                  <c:v>180</c:v>
                </c:pt>
                <c:pt idx="12">
                  <c:v>200</c:v>
                </c:pt>
                <c:pt idx="13">
                  <c:v>220</c:v>
                </c:pt>
                <c:pt idx="14">
                  <c:v>240</c:v>
                </c:pt>
                <c:pt idx="15">
                  <c:v>260</c:v>
                </c:pt>
                <c:pt idx="16">
                  <c:v>280</c:v>
                </c:pt>
                <c:pt idx="17">
                  <c:v>300</c:v>
                </c:pt>
                <c:pt idx="18">
                  <c:v>320</c:v>
                </c:pt>
                <c:pt idx="19">
                  <c:v>340</c:v>
                </c:pt>
                <c:pt idx="20">
                  <c:v>360</c:v>
                </c:pt>
                <c:pt idx="21">
                  <c:v>380</c:v>
                </c:pt>
                <c:pt idx="22">
                  <c:v>380</c:v>
                </c:pt>
                <c:pt idx="23">
                  <c:v>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20-45ED-B2A5-3C7AAA2A6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952415"/>
        <c:axId val="1898950975"/>
      </c:lineChart>
      <c:catAx>
        <c:axId val="189895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0975"/>
        <c:crosses val="autoZero"/>
        <c:auto val="1"/>
        <c:lblAlgn val="ctr"/>
        <c:lblOffset val="100"/>
        <c:noMultiLvlLbl val="0"/>
      </c:catAx>
      <c:valAx>
        <c:axId val="189895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REPORTE CONSUMO</a:t>
            </a:r>
            <a:r>
              <a:rPr lang="es-CO" baseline="0"/>
              <a:t> VS HORA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CONSOLIDADO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'29-ABRIL-2026'!$D$5:$D$28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40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30</c:v>
                </c:pt>
                <c:pt idx="14">
                  <c:v>10</c:v>
                </c:pt>
                <c:pt idx="15">
                  <c:v>20</c:v>
                </c:pt>
                <c:pt idx="16">
                  <c:v>10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30</c:v>
                </c:pt>
                <c:pt idx="21">
                  <c:v>20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88-46F8-B901-D5DF6CA13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719775"/>
        <c:axId val="1210720255"/>
      </c:lineChart>
      <c:catAx>
        <c:axId val="121071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20255"/>
        <c:crosses val="autoZero"/>
        <c:auto val="1"/>
        <c:lblAlgn val="ctr"/>
        <c:lblOffset val="100"/>
        <c:noMultiLvlLbl val="0"/>
      </c:catAx>
      <c:valAx>
        <c:axId val="121072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</a:t>
                </a:r>
                <a:r>
                  <a:rPr lang="es-CO" baseline="0"/>
                  <a:t>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1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REPORTE CONSOLIDADO CONSUMO VS HORA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'29-ABRIL-2026'!$B$4</c:f>
              <c:strCache>
                <c:ptCount val="1"/>
                <c:pt idx="0">
                  <c:v>Hora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'29-ABRIL-2026'!$E$5:$E$28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60</c:v>
                </c:pt>
                <c:pt idx="6">
                  <c:v>80</c:v>
                </c:pt>
                <c:pt idx="7">
                  <c:v>100</c:v>
                </c:pt>
                <c:pt idx="8">
                  <c:v>120</c:v>
                </c:pt>
                <c:pt idx="9">
                  <c:v>140</c:v>
                </c:pt>
                <c:pt idx="10">
                  <c:v>160</c:v>
                </c:pt>
                <c:pt idx="11">
                  <c:v>180</c:v>
                </c:pt>
                <c:pt idx="12">
                  <c:v>200</c:v>
                </c:pt>
                <c:pt idx="13">
                  <c:v>230</c:v>
                </c:pt>
                <c:pt idx="14">
                  <c:v>240</c:v>
                </c:pt>
                <c:pt idx="15">
                  <c:v>260</c:v>
                </c:pt>
                <c:pt idx="16">
                  <c:v>270</c:v>
                </c:pt>
                <c:pt idx="17">
                  <c:v>290</c:v>
                </c:pt>
                <c:pt idx="18">
                  <c:v>310</c:v>
                </c:pt>
                <c:pt idx="19">
                  <c:v>330</c:v>
                </c:pt>
                <c:pt idx="20">
                  <c:v>360</c:v>
                </c:pt>
                <c:pt idx="21">
                  <c:v>380</c:v>
                </c:pt>
                <c:pt idx="22">
                  <c:v>380</c:v>
                </c:pt>
                <c:pt idx="23">
                  <c:v>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C5-4F90-8F20-91CF88251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952415"/>
        <c:axId val="1898950975"/>
      </c:lineChart>
      <c:catAx>
        <c:axId val="189895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0975"/>
        <c:crosses val="autoZero"/>
        <c:auto val="1"/>
        <c:lblAlgn val="ctr"/>
        <c:lblOffset val="100"/>
        <c:noMultiLvlLbl val="0"/>
      </c:catAx>
      <c:valAx>
        <c:axId val="189895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REPORTE CONSUMO</a:t>
            </a:r>
            <a:r>
              <a:rPr lang="es-CO" baseline="0"/>
              <a:t> VS HORA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CONSOLIDADO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'30-ABRIL-2026'!$D$5:$D$28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</c:v>
                </c:pt>
                <c:pt idx="5">
                  <c:v>30</c:v>
                </c:pt>
                <c:pt idx="6">
                  <c:v>20</c:v>
                </c:pt>
                <c:pt idx="7">
                  <c:v>20</c:v>
                </c:pt>
                <c:pt idx="8">
                  <c:v>30</c:v>
                </c:pt>
                <c:pt idx="9">
                  <c:v>10</c:v>
                </c:pt>
                <c:pt idx="10">
                  <c:v>30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10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1E-4CC6-85CC-DC9F7B93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719775"/>
        <c:axId val="1210720255"/>
      </c:lineChart>
      <c:catAx>
        <c:axId val="121071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20255"/>
        <c:crosses val="autoZero"/>
        <c:auto val="1"/>
        <c:lblAlgn val="ctr"/>
        <c:lblOffset val="100"/>
        <c:noMultiLvlLbl val="0"/>
      </c:catAx>
      <c:valAx>
        <c:axId val="121072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</a:t>
                </a:r>
                <a:r>
                  <a:rPr lang="es-CO" baseline="0"/>
                  <a:t>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1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REPORTE CONSOLIDADO CONSUMO VS HORA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'30-ABRIL-2026'!$B$4</c:f>
              <c:strCache>
                <c:ptCount val="1"/>
                <c:pt idx="0">
                  <c:v>Hora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'30-ABRIL-2026'!$E$5:$E$28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</c:v>
                </c:pt>
                <c:pt idx="5">
                  <c:v>60</c:v>
                </c:pt>
                <c:pt idx="6">
                  <c:v>80</c:v>
                </c:pt>
                <c:pt idx="7">
                  <c:v>100</c:v>
                </c:pt>
                <c:pt idx="8">
                  <c:v>130</c:v>
                </c:pt>
                <c:pt idx="9">
                  <c:v>140</c:v>
                </c:pt>
                <c:pt idx="10">
                  <c:v>170</c:v>
                </c:pt>
                <c:pt idx="11">
                  <c:v>190</c:v>
                </c:pt>
                <c:pt idx="12">
                  <c:v>210</c:v>
                </c:pt>
                <c:pt idx="13">
                  <c:v>230</c:v>
                </c:pt>
                <c:pt idx="14">
                  <c:v>250</c:v>
                </c:pt>
                <c:pt idx="15">
                  <c:v>270</c:v>
                </c:pt>
                <c:pt idx="16">
                  <c:v>280</c:v>
                </c:pt>
                <c:pt idx="17">
                  <c:v>300</c:v>
                </c:pt>
                <c:pt idx="18">
                  <c:v>320</c:v>
                </c:pt>
                <c:pt idx="19">
                  <c:v>340</c:v>
                </c:pt>
                <c:pt idx="20">
                  <c:v>360</c:v>
                </c:pt>
                <c:pt idx="21">
                  <c:v>380</c:v>
                </c:pt>
                <c:pt idx="22">
                  <c:v>380</c:v>
                </c:pt>
                <c:pt idx="23">
                  <c:v>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02-4DAD-AA77-237356B16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952415"/>
        <c:axId val="1898950975"/>
      </c:lineChart>
      <c:catAx>
        <c:axId val="189895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0975"/>
        <c:crosses val="autoZero"/>
        <c:auto val="1"/>
        <c:lblAlgn val="ctr"/>
        <c:lblOffset val="100"/>
        <c:noMultiLvlLbl val="0"/>
      </c:catAx>
      <c:valAx>
        <c:axId val="189895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REPORTE CONSUMO</a:t>
            </a:r>
            <a:r>
              <a:rPr lang="es-CO" baseline="0"/>
              <a:t> VS HORA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CONSOLIDADO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'1-MAYO-2026'!$D$5:$D$28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30</c:v>
                </c:pt>
                <c:pt idx="10">
                  <c:v>40</c:v>
                </c:pt>
                <c:pt idx="11">
                  <c:v>50</c:v>
                </c:pt>
                <c:pt idx="12">
                  <c:v>40</c:v>
                </c:pt>
                <c:pt idx="13">
                  <c:v>20</c:v>
                </c:pt>
                <c:pt idx="14">
                  <c:v>30</c:v>
                </c:pt>
                <c:pt idx="15">
                  <c:v>30</c:v>
                </c:pt>
                <c:pt idx="16">
                  <c:v>20</c:v>
                </c:pt>
                <c:pt idx="17">
                  <c:v>20</c:v>
                </c:pt>
                <c:pt idx="18">
                  <c:v>30</c:v>
                </c:pt>
                <c:pt idx="19">
                  <c:v>30</c:v>
                </c:pt>
                <c:pt idx="20">
                  <c:v>20</c:v>
                </c:pt>
                <c:pt idx="21">
                  <c:v>20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AB-488E-ACD9-FDE3363EF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719775"/>
        <c:axId val="1210720255"/>
      </c:lineChart>
      <c:catAx>
        <c:axId val="121071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20255"/>
        <c:crosses val="autoZero"/>
        <c:auto val="1"/>
        <c:lblAlgn val="ctr"/>
        <c:lblOffset val="100"/>
        <c:noMultiLvlLbl val="0"/>
      </c:catAx>
      <c:valAx>
        <c:axId val="121072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</a:t>
                </a:r>
                <a:r>
                  <a:rPr lang="es-CO" baseline="0"/>
                  <a:t>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1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REPORTE CONSOLIDADO CONSUMO VS HORA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'1-MAYO-2026'!$B$4</c:f>
              <c:strCache>
                <c:ptCount val="1"/>
                <c:pt idx="0">
                  <c:v>Hora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'1-MAYO-2026'!$E$5:$E$28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40</c:v>
                </c:pt>
                <c:pt idx="5">
                  <c:v>60</c:v>
                </c:pt>
                <c:pt idx="6">
                  <c:v>80</c:v>
                </c:pt>
                <c:pt idx="7">
                  <c:v>100</c:v>
                </c:pt>
                <c:pt idx="8">
                  <c:v>120</c:v>
                </c:pt>
                <c:pt idx="9">
                  <c:v>150</c:v>
                </c:pt>
                <c:pt idx="10">
                  <c:v>190</c:v>
                </c:pt>
                <c:pt idx="11">
                  <c:v>240</c:v>
                </c:pt>
                <c:pt idx="12">
                  <c:v>280</c:v>
                </c:pt>
                <c:pt idx="13">
                  <c:v>300</c:v>
                </c:pt>
                <c:pt idx="14">
                  <c:v>330</c:v>
                </c:pt>
                <c:pt idx="15">
                  <c:v>360</c:v>
                </c:pt>
                <c:pt idx="16">
                  <c:v>380</c:v>
                </c:pt>
                <c:pt idx="17">
                  <c:v>400</c:v>
                </c:pt>
                <c:pt idx="18">
                  <c:v>430</c:v>
                </c:pt>
                <c:pt idx="19">
                  <c:v>460</c:v>
                </c:pt>
                <c:pt idx="20">
                  <c:v>480</c:v>
                </c:pt>
                <c:pt idx="21">
                  <c:v>500</c:v>
                </c:pt>
                <c:pt idx="22">
                  <c:v>500</c:v>
                </c:pt>
                <c:pt idx="23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ED-4E39-9BC8-771C54AA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952415"/>
        <c:axId val="1898950975"/>
      </c:lineChart>
      <c:catAx>
        <c:axId val="189895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0975"/>
        <c:crosses val="autoZero"/>
        <c:auto val="1"/>
        <c:lblAlgn val="ctr"/>
        <c:lblOffset val="100"/>
        <c:noMultiLvlLbl val="0"/>
      </c:catAx>
      <c:valAx>
        <c:axId val="189895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REPORTE CONSUMO</a:t>
            </a:r>
            <a:r>
              <a:rPr lang="es-CO" baseline="0"/>
              <a:t> VS HORA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CONSOLIDADO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'2-MAYO-2026'!$D$5:$D$28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30</c:v>
                </c:pt>
                <c:pt idx="7">
                  <c:v>30</c:v>
                </c:pt>
                <c:pt idx="8">
                  <c:v>40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30</c:v>
                </c:pt>
                <c:pt idx="14">
                  <c:v>30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10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02-4555-81B9-1D9BF4AEF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719775"/>
        <c:axId val="1210720255"/>
      </c:lineChart>
      <c:catAx>
        <c:axId val="121071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20255"/>
        <c:crosses val="autoZero"/>
        <c:auto val="1"/>
        <c:lblAlgn val="ctr"/>
        <c:lblOffset val="100"/>
        <c:noMultiLvlLbl val="0"/>
      </c:catAx>
      <c:valAx>
        <c:axId val="121072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</a:t>
                </a:r>
                <a:r>
                  <a:rPr lang="es-CO" baseline="0"/>
                  <a:t>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1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REPORTE CONSOLIDADO CONSUMO VS HORA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'2-MAYO-2026'!$B$4</c:f>
              <c:strCache>
                <c:ptCount val="1"/>
                <c:pt idx="0">
                  <c:v>Hora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'2-MAYO-2026'!$E$5:$E$28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40</c:v>
                </c:pt>
                <c:pt idx="6">
                  <c:v>70</c:v>
                </c:pt>
                <c:pt idx="7">
                  <c:v>100</c:v>
                </c:pt>
                <c:pt idx="8">
                  <c:v>140</c:v>
                </c:pt>
                <c:pt idx="9">
                  <c:v>160</c:v>
                </c:pt>
                <c:pt idx="10">
                  <c:v>180</c:v>
                </c:pt>
                <c:pt idx="11">
                  <c:v>200</c:v>
                </c:pt>
                <c:pt idx="12">
                  <c:v>220</c:v>
                </c:pt>
                <c:pt idx="13">
                  <c:v>250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350</c:v>
                </c:pt>
                <c:pt idx="19">
                  <c:v>370</c:v>
                </c:pt>
                <c:pt idx="20">
                  <c:v>390</c:v>
                </c:pt>
                <c:pt idx="21">
                  <c:v>410</c:v>
                </c:pt>
                <c:pt idx="22">
                  <c:v>410</c:v>
                </c:pt>
                <c:pt idx="23">
                  <c:v>410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EC-473C-9EAF-B2D562FA7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952415"/>
        <c:axId val="1898950975"/>
      </c:lineChart>
      <c:catAx>
        <c:axId val="189895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0975"/>
        <c:crosses val="autoZero"/>
        <c:auto val="1"/>
        <c:lblAlgn val="ctr"/>
        <c:lblOffset val="100"/>
        <c:noMultiLvlLbl val="0"/>
      </c:catAx>
      <c:valAx>
        <c:axId val="189895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REPORTE CONSUMO</a:t>
            </a:r>
            <a:r>
              <a:rPr lang="es-CO" baseline="0"/>
              <a:t> VS HORA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CONSOLIDADO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'3-MAYO-2026 '!$D$5:$D$28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40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30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B7-4056-8810-C9AD5E55D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719775"/>
        <c:axId val="1210720255"/>
      </c:lineChart>
      <c:catAx>
        <c:axId val="121071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20255"/>
        <c:crosses val="autoZero"/>
        <c:auto val="1"/>
        <c:lblAlgn val="ctr"/>
        <c:lblOffset val="100"/>
        <c:noMultiLvlLbl val="0"/>
      </c:catAx>
      <c:valAx>
        <c:axId val="121072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</a:t>
                </a:r>
                <a:r>
                  <a:rPr lang="es-CO" baseline="0"/>
                  <a:t>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1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REPORTE CONSOLIDADO CONSUMO VS HORA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'3-MAYO-2026 '!$B$4</c:f>
              <c:strCache>
                <c:ptCount val="1"/>
                <c:pt idx="0">
                  <c:v>Hora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'3-MAYO-2026 '!$E$5:$E$28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40</c:v>
                </c:pt>
                <c:pt idx="6">
                  <c:v>60</c:v>
                </c:pt>
                <c:pt idx="7">
                  <c:v>80</c:v>
                </c:pt>
                <c:pt idx="8">
                  <c:v>120</c:v>
                </c:pt>
                <c:pt idx="9">
                  <c:v>170</c:v>
                </c:pt>
                <c:pt idx="10">
                  <c:v>220</c:v>
                </c:pt>
                <c:pt idx="11">
                  <c:v>270</c:v>
                </c:pt>
                <c:pt idx="12">
                  <c:v>300</c:v>
                </c:pt>
                <c:pt idx="13">
                  <c:v>320</c:v>
                </c:pt>
                <c:pt idx="14">
                  <c:v>340</c:v>
                </c:pt>
                <c:pt idx="15">
                  <c:v>360</c:v>
                </c:pt>
                <c:pt idx="16">
                  <c:v>380</c:v>
                </c:pt>
                <c:pt idx="17">
                  <c:v>400</c:v>
                </c:pt>
                <c:pt idx="18">
                  <c:v>420</c:v>
                </c:pt>
                <c:pt idx="19">
                  <c:v>440</c:v>
                </c:pt>
                <c:pt idx="20">
                  <c:v>460</c:v>
                </c:pt>
                <c:pt idx="21">
                  <c:v>480</c:v>
                </c:pt>
                <c:pt idx="22">
                  <c:v>480</c:v>
                </c:pt>
                <c:pt idx="23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47-4126-9D80-D1CB732B5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952415"/>
        <c:axId val="1898950975"/>
      </c:lineChart>
      <c:catAx>
        <c:axId val="189895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0975"/>
        <c:crosses val="autoZero"/>
        <c:auto val="1"/>
        <c:lblAlgn val="ctr"/>
        <c:lblOffset val="100"/>
        <c:noMultiLvlLbl val="0"/>
      </c:catAx>
      <c:valAx>
        <c:axId val="189895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REPORTE CONSUMO</a:t>
            </a:r>
            <a:r>
              <a:rPr lang="es-CO" baseline="0"/>
              <a:t> VS HORA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CONSOLIDADO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'4-MAYO-2026  '!$D$5:$D$28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</c:v>
                </c:pt>
                <c:pt idx="5">
                  <c:v>20</c:v>
                </c:pt>
                <c:pt idx="6">
                  <c:v>40</c:v>
                </c:pt>
                <c:pt idx="7">
                  <c:v>20</c:v>
                </c:pt>
                <c:pt idx="8">
                  <c:v>20</c:v>
                </c:pt>
                <c:pt idx="9">
                  <c:v>30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10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1A-4ABE-97D5-1D87DC659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719775"/>
        <c:axId val="1210720255"/>
      </c:lineChart>
      <c:catAx>
        <c:axId val="121071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20255"/>
        <c:crosses val="autoZero"/>
        <c:auto val="1"/>
        <c:lblAlgn val="ctr"/>
        <c:lblOffset val="100"/>
        <c:noMultiLvlLbl val="0"/>
      </c:catAx>
      <c:valAx>
        <c:axId val="121072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</a:t>
                </a:r>
                <a:r>
                  <a:rPr lang="es-CO" baseline="0"/>
                  <a:t>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1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REPORTE CONSOLIDADO CONSUMO VS HORA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'4-MAYO-2026  '!$B$4</c:f>
              <c:strCache>
                <c:ptCount val="1"/>
                <c:pt idx="0">
                  <c:v>Hora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'4-MAYO-2026  '!$E$5:$E$28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</c:v>
                </c:pt>
                <c:pt idx="5">
                  <c:v>50</c:v>
                </c:pt>
                <c:pt idx="6">
                  <c:v>90</c:v>
                </c:pt>
                <c:pt idx="7">
                  <c:v>110</c:v>
                </c:pt>
                <c:pt idx="8">
                  <c:v>130</c:v>
                </c:pt>
                <c:pt idx="9">
                  <c:v>160</c:v>
                </c:pt>
                <c:pt idx="10">
                  <c:v>180</c:v>
                </c:pt>
                <c:pt idx="11">
                  <c:v>200</c:v>
                </c:pt>
                <c:pt idx="12">
                  <c:v>220</c:v>
                </c:pt>
                <c:pt idx="13">
                  <c:v>240</c:v>
                </c:pt>
                <c:pt idx="14">
                  <c:v>260</c:v>
                </c:pt>
                <c:pt idx="15">
                  <c:v>280</c:v>
                </c:pt>
                <c:pt idx="16">
                  <c:v>290</c:v>
                </c:pt>
                <c:pt idx="17">
                  <c:v>310</c:v>
                </c:pt>
                <c:pt idx="18">
                  <c:v>330</c:v>
                </c:pt>
                <c:pt idx="19">
                  <c:v>350</c:v>
                </c:pt>
                <c:pt idx="20">
                  <c:v>370</c:v>
                </c:pt>
                <c:pt idx="21">
                  <c:v>390</c:v>
                </c:pt>
                <c:pt idx="22">
                  <c:v>390</c:v>
                </c:pt>
                <c:pt idx="23">
                  <c:v>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D1-49B2-B55D-2486A1AC9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952415"/>
        <c:axId val="1898950975"/>
      </c:lineChart>
      <c:catAx>
        <c:axId val="189895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0975"/>
        <c:crosses val="autoZero"/>
        <c:auto val="1"/>
        <c:lblAlgn val="ctr"/>
        <c:lblOffset val="100"/>
        <c:noMultiLvlLbl val="0"/>
      </c:catAx>
      <c:valAx>
        <c:axId val="189895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REPORTE CONSUMO</a:t>
            </a:r>
            <a:r>
              <a:rPr lang="es-CO" baseline="0"/>
              <a:t> VS HORA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CONSOLIDADO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'5-MAYO-2026  '!$D$5:$D$28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10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C6-4829-B77E-C14030896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719775"/>
        <c:axId val="1210720255"/>
      </c:lineChart>
      <c:catAx>
        <c:axId val="121071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20255"/>
        <c:crosses val="autoZero"/>
        <c:auto val="1"/>
        <c:lblAlgn val="ctr"/>
        <c:lblOffset val="100"/>
        <c:noMultiLvlLbl val="0"/>
      </c:catAx>
      <c:valAx>
        <c:axId val="121072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</a:t>
                </a:r>
                <a:r>
                  <a:rPr lang="es-CO" baseline="0"/>
                  <a:t>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1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REPORTE CONSOLIDADO CONSUMO VS HORA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'5-MAYO-2026  '!$B$4</c:f>
              <c:strCache>
                <c:ptCount val="1"/>
                <c:pt idx="0">
                  <c:v>Hora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'5-MAYO-2026  '!$E$5:$E$28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60</c:v>
                </c:pt>
                <c:pt idx="6">
                  <c:v>90</c:v>
                </c:pt>
                <c:pt idx="7">
                  <c:v>120</c:v>
                </c:pt>
                <c:pt idx="8">
                  <c:v>150</c:v>
                </c:pt>
                <c:pt idx="9">
                  <c:v>170</c:v>
                </c:pt>
                <c:pt idx="10">
                  <c:v>190</c:v>
                </c:pt>
                <c:pt idx="11">
                  <c:v>210</c:v>
                </c:pt>
                <c:pt idx="12">
                  <c:v>230</c:v>
                </c:pt>
                <c:pt idx="13">
                  <c:v>250</c:v>
                </c:pt>
                <c:pt idx="14">
                  <c:v>270</c:v>
                </c:pt>
                <c:pt idx="15">
                  <c:v>300</c:v>
                </c:pt>
                <c:pt idx="16">
                  <c:v>330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430</c:v>
                </c:pt>
                <c:pt idx="22">
                  <c:v>430</c:v>
                </c:pt>
                <c:pt idx="23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79-4081-9410-28F17795F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952415"/>
        <c:axId val="1898950975"/>
      </c:lineChart>
      <c:catAx>
        <c:axId val="189895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0975"/>
        <c:crosses val="autoZero"/>
        <c:auto val="1"/>
        <c:lblAlgn val="ctr"/>
        <c:lblOffset val="100"/>
        <c:noMultiLvlLbl val="0"/>
      </c:catAx>
      <c:valAx>
        <c:axId val="189895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REPORTE CONSUMO</a:t>
            </a:r>
            <a:r>
              <a:rPr lang="es-CO" baseline="0"/>
              <a:t> VS HORA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CONSOLIDADO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'6-MAYO-2026  '!$D$5:$D$28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40</c:v>
                </c:pt>
                <c:pt idx="6">
                  <c:v>30</c:v>
                </c:pt>
                <c:pt idx="7">
                  <c:v>20</c:v>
                </c:pt>
                <c:pt idx="8">
                  <c:v>30</c:v>
                </c:pt>
                <c:pt idx="9">
                  <c:v>20</c:v>
                </c:pt>
                <c:pt idx="10">
                  <c:v>20</c:v>
                </c:pt>
                <c:pt idx="11">
                  <c:v>30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30</c:v>
                </c:pt>
                <c:pt idx="21">
                  <c:v>20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5A-471F-941C-56945056A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719775"/>
        <c:axId val="1210720255"/>
      </c:lineChart>
      <c:catAx>
        <c:axId val="121071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20255"/>
        <c:crosses val="autoZero"/>
        <c:auto val="1"/>
        <c:lblAlgn val="ctr"/>
        <c:lblOffset val="100"/>
        <c:noMultiLvlLbl val="0"/>
      </c:catAx>
      <c:valAx>
        <c:axId val="121072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</a:t>
                </a:r>
                <a:r>
                  <a:rPr lang="es-CO" baseline="0"/>
                  <a:t>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1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REPORTE CONSOLIDADO CONSUMO VS HORA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'6-MAYO-2026  '!$B$4</c:f>
              <c:strCache>
                <c:ptCount val="1"/>
                <c:pt idx="0">
                  <c:v>Hora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'6-MAYO-2026  '!$E$5:$E$28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60</c:v>
                </c:pt>
                <c:pt idx="6">
                  <c:v>90</c:v>
                </c:pt>
                <c:pt idx="7">
                  <c:v>110</c:v>
                </c:pt>
                <c:pt idx="8">
                  <c:v>140</c:v>
                </c:pt>
                <c:pt idx="9">
                  <c:v>160</c:v>
                </c:pt>
                <c:pt idx="10">
                  <c:v>180</c:v>
                </c:pt>
                <c:pt idx="11">
                  <c:v>210</c:v>
                </c:pt>
                <c:pt idx="12">
                  <c:v>230</c:v>
                </c:pt>
                <c:pt idx="13">
                  <c:v>250</c:v>
                </c:pt>
                <c:pt idx="14">
                  <c:v>270</c:v>
                </c:pt>
                <c:pt idx="15">
                  <c:v>290</c:v>
                </c:pt>
                <c:pt idx="16">
                  <c:v>310</c:v>
                </c:pt>
                <c:pt idx="17">
                  <c:v>330</c:v>
                </c:pt>
                <c:pt idx="18">
                  <c:v>350</c:v>
                </c:pt>
                <c:pt idx="19">
                  <c:v>370</c:v>
                </c:pt>
                <c:pt idx="20">
                  <c:v>400</c:v>
                </c:pt>
                <c:pt idx="21">
                  <c:v>420</c:v>
                </c:pt>
                <c:pt idx="22">
                  <c:v>420</c:v>
                </c:pt>
                <c:pt idx="23">
                  <c:v>420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A0-457F-9CDA-0BD929631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952415"/>
        <c:axId val="1898950975"/>
      </c:lineChart>
      <c:catAx>
        <c:axId val="189895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0975"/>
        <c:crosses val="autoZero"/>
        <c:auto val="1"/>
        <c:lblAlgn val="ctr"/>
        <c:lblOffset val="100"/>
        <c:noMultiLvlLbl val="0"/>
      </c:catAx>
      <c:valAx>
        <c:axId val="189895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REPORTE CONSUMO</a:t>
            </a:r>
            <a:r>
              <a:rPr lang="es-CO" baseline="0"/>
              <a:t> VS HORA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CONSOLIDADO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'7-MAYO-2026'!$D$5:$D$28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</c:v>
                </c:pt>
                <c:pt idx="5">
                  <c:v>20</c:v>
                </c:pt>
                <c:pt idx="6">
                  <c:v>20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10</c:v>
                </c:pt>
                <c:pt idx="16">
                  <c:v>10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C6-4790-AF1B-78D0944A2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719775"/>
        <c:axId val="1210720255"/>
      </c:lineChart>
      <c:catAx>
        <c:axId val="121071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20255"/>
        <c:crosses val="autoZero"/>
        <c:auto val="1"/>
        <c:lblAlgn val="ctr"/>
        <c:lblOffset val="100"/>
        <c:noMultiLvlLbl val="0"/>
      </c:catAx>
      <c:valAx>
        <c:axId val="121072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</a:t>
                </a:r>
                <a:r>
                  <a:rPr lang="es-CO" baseline="0"/>
                  <a:t>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1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REPORTE CONSOLIDADO CONSUMO VS HORA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'7-MAYO-2026'!$B$4</c:f>
              <c:strCache>
                <c:ptCount val="1"/>
                <c:pt idx="0">
                  <c:v>Hora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'7-MAYO-2026'!$E$5:$E$28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</c:v>
                </c:pt>
                <c:pt idx="5">
                  <c:v>50</c:v>
                </c:pt>
                <c:pt idx="6">
                  <c:v>70</c:v>
                </c:pt>
                <c:pt idx="7">
                  <c:v>100</c:v>
                </c:pt>
                <c:pt idx="8">
                  <c:v>130</c:v>
                </c:pt>
                <c:pt idx="9">
                  <c:v>160</c:v>
                </c:pt>
                <c:pt idx="10">
                  <c:v>190</c:v>
                </c:pt>
                <c:pt idx="11">
                  <c:v>210</c:v>
                </c:pt>
                <c:pt idx="12">
                  <c:v>230</c:v>
                </c:pt>
                <c:pt idx="13">
                  <c:v>250</c:v>
                </c:pt>
                <c:pt idx="14">
                  <c:v>270</c:v>
                </c:pt>
                <c:pt idx="15">
                  <c:v>280</c:v>
                </c:pt>
                <c:pt idx="16">
                  <c:v>290</c:v>
                </c:pt>
                <c:pt idx="17">
                  <c:v>310</c:v>
                </c:pt>
                <c:pt idx="18">
                  <c:v>330</c:v>
                </c:pt>
                <c:pt idx="19">
                  <c:v>350</c:v>
                </c:pt>
                <c:pt idx="20">
                  <c:v>370</c:v>
                </c:pt>
                <c:pt idx="21">
                  <c:v>390</c:v>
                </c:pt>
                <c:pt idx="22">
                  <c:v>390</c:v>
                </c:pt>
                <c:pt idx="23">
                  <c:v>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5E-49B6-B790-2030F4D85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952415"/>
        <c:axId val="1898950975"/>
      </c:lineChart>
      <c:catAx>
        <c:axId val="189895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0975"/>
        <c:crosses val="autoZero"/>
        <c:auto val="1"/>
        <c:lblAlgn val="ctr"/>
        <c:lblOffset val="100"/>
        <c:noMultiLvlLbl val="0"/>
      </c:catAx>
      <c:valAx>
        <c:axId val="189895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REPORTE CONSUMO</a:t>
            </a:r>
            <a:r>
              <a:rPr lang="es-CO" baseline="0"/>
              <a:t> VS HORA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CONSOLIDADO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'8-MAYO-2026'!$D$5:$D$28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40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10</c:v>
                </c:pt>
                <c:pt idx="19">
                  <c:v>20</c:v>
                </c:pt>
                <c:pt idx="20">
                  <c:v>20</c:v>
                </c:pt>
                <c:pt idx="21">
                  <c:v>30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4A-4884-ADA7-D4D68D963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719775"/>
        <c:axId val="1210720255"/>
      </c:lineChart>
      <c:catAx>
        <c:axId val="121071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20255"/>
        <c:crosses val="autoZero"/>
        <c:auto val="1"/>
        <c:lblAlgn val="ctr"/>
        <c:lblOffset val="100"/>
        <c:noMultiLvlLbl val="0"/>
      </c:catAx>
      <c:valAx>
        <c:axId val="121072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</a:t>
                </a:r>
                <a:r>
                  <a:rPr lang="es-CO" baseline="0"/>
                  <a:t>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1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REPORTE CONSOLIDADO CONSUMO VS HORA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'8-MAYO-2026'!$B$4</c:f>
              <c:strCache>
                <c:ptCount val="1"/>
                <c:pt idx="0">
                  <c:v>Hora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'8-MAYO-2026'!$E$5:$E$28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50</c:v>
                </c:pt>
                <c:pt idx="6">
                  <c:v>80</c:v>
                </c:pt>
                <c:pt idx="7">
                  <c:v>110</c:v>
                </c:pt>
                <c:pt idx="8">
                  <c:v>140</c:v>
                </c:pt>
                <c:pt idx="9">
                  <c:v>170</c:v>
                </c:pt>
                <c:pt idx="10">
                  <c:v>200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370</c:v>
                </c:pt>
                <c:pt idx="19">
                  <c:v>390</c:v>
                </c:pt>
                <c:pt idx="20">
                  <c:v>410</c:v>
                </c:pt>
                <c:pt idx="21">
                  <c:v>440</c:v>
                </c:pt>
                <c:pt idx="22">
                  <c:v>440</c:v>
                </c:pt>
                <c:pt idx="23">
                  <c:v>440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04-4B8B-B059-E1CAD60CA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952415"/>
        <c:axId val="1898950975"/>
      </c:lineChart>
      <c:catAx>
        <c:axId val="189895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0975"/>
        <c:crosses val="autoZero"/>
        <c:auto val="1"/>
        <c:lblAlgn val="ctr"/>
        <c:lblOffset val="100"/>
        <c:noMultiLvlLbl val="0"/>
      </c:catAx>
      <c:valAx>
        <c:axId val="189895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REPORTE CONSUMO</a:t>
            </a:r>
            <a:r>
              <a:rPr lang="es-CO" baseline="0"/>
              <a:t> VS HORA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CONSOLIDADO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'9-MAYO-2026'!$D$5:$D$28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</c:v>
                </c:pt>
                <c:pt idx="5">
                  <c:v>30</c:v>
                </c:pt>
                <c:pt idx="6">
                  <c:v>20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40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30</c:v>
                </c:pt>
                <c:pt idx="19">
                  <c:v>20</c:v>
                </c:pt>
                <c:pt idx="20">
                  <c:v>30</c:v>
                </c:pt>
                <c:pt idx="21">
                  <c:v>20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5E-49A7-8F24-984704ECD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719775"/>
        <c:axId val="1210720255"/>
      </c:lineChart>
      <c:catAx>
        <c:axId val="121071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20255"/>
        <c:crosses val="autoZero"/>
        <c:auto val="1"/>
        <c:lblAlgn val="ctr"/>
        <c:lblOffset val="100"/>
        <c:noMultiLvlLbl val="0"/>
      </c:catAx>
      <c:valAx>
        <c:axId val="121072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</a:t>
                </a:r>
                <a:r>
                  <a:rPr lang="es-CO" baseline="0"/>
                  <a:t>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1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REPORTE CONSOLIDADO CONSUMO VS HORA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'9-MAYO-2026'!$B$4</c:f>
              <c:strCache>
                <c:ptCount val="1"/>
                <c:pt idx="0">
                  <c:v>Hora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'9-MAYO-2026'!$E$5:$E$28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140</c:v>
                </c:pt>
                <c:pt idx="9">
                  <c:v>170</c:v>
                </c:pt>
                <c:pt idx="10">
                  <c:v>210</c:v>
                </c:pt>
                <c:pt idx="11">
                  <c:v>240</c:v>
                </c:pt>
                <c:pt idx="12">
                  <c:v>270</c:v>
                </c:pt>
                <c:pt idx="13">
                  <c:v>300</c:v>
                </c:pt>
                <c:pt idx="14">
                  <c:v>330</c:v>
                </c:pt>
                <c:pt idx="15">
                  <c:v>350</c:v>
                </c:pt>
                <c:pt idx="16">
                  <c:v>370</c:v>
                </c:pt>
                <c:pt idx="17">
                  <c:v>390</c:v>
                </c:pt>
                <c:pt idx="18">
                  <c:v>420</c:v>
                </c:pt>
                <c:pt idx="19">
                  <c:v>440</c:v>
                </c:pt>
                <c:pt idx="20">
                  <c:v>470</c:v>
                </c:pt>
                <c:pt idx="21">
                  <c:v>490</c:v>
                </c:pt>
                <c:pt idx="22">
                  <c:v>490</c:v>
                </c:pt>
                <c:pt idx="23">
                  <c:v>490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EA-44E0-B129-E0D593A4F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952415"/>
        <c:axId val="1898950975"/>
      </c:lineChart>
      <c:catAx>
        <c:axId val="189895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0975"/>
        <c:crosses val="autoZero"/>
        <c:auto val="1"/>
        <c:lblAlgn val="ctr"/>
        <c:lblOffset val="100"/>
        <c:noMultiLvlLbl val="0"/>
      </c:catAx>
      <c:valAx>
        <c:axId val="189895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REPORTE CONSUMO</a:t>
            </a:r>
            <a:r>
              <a:rPr lang="es-CO" baseline="0"/>
              <a:t> VS HORA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CONSOLIDADO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'10-MAYO-2026 '!$D$5:$D$28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30</c:v>
                </c:pt>
                <c:pt idx="6">
                  <c:v>20</c:v>
                </c:pt>
                <c:pt idx="7">
                  <c:v>20</c:v>
                </c:pt>
                <c:pt idx="8">
                  <c:v>30</c:v>
                </c:pt>
                <c:pt idx="9">
                  <c:v>30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30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40</c:v>
                </c:pt>
                <c:pt idx="19">
                  <c:v>40</c:v>
                </c:pt>
                <c:pt idx="20">
                  <c:v>40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13-41EC-AED1-C9434F8FF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719775"/>
        <c:axId val="1210720255"/>
      </c:lineChart>
      <c:catAx>
        <c:axId val="121071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20255"/>
        <c:crosses val="autoZero"/>
        <c:auto val="1"/>
        <c:lblAlgn val="ctr"/>
        <c:lblOffset val="100"/>
        <c:noMultiLvlLbl val="0"/>
      </c:catAx>
      <c:valAx>
        <c:axId val="121072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</a:t>
                </a:r>
                <a:r>
                  <a:rPr lang="es-CO" baseline="0"/>
                  <a:t>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1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REPORTE CONSOLIDADO CONSUMO VS HORA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'10-MAYO-2026 '!$B$4</c:f>
              <c:strCache>
                <c:ptCount val="1"/>
                <c:pt idx="0">
                  <c:v>Hora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'10-MAYO-2026 '!$E$5:$E$28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50</c:v>
                </c:pt>
                <c:pt idx="6">
                  <c:v>70</c:v>
                </c:pt>
                <c:pt idx="7">
                  <c:v>90</c:v>
                </c:pt>
                <c:pt idx="8">
                  <c:v>120</c:v>
                </c:pt>
                <c:pt idx="9">
                  <c:v>150</c:v>
                </c:pt>
                <c:pt idx="10">
                  <c:v>190</c:v>
                </c:pt>
                <c:pt idx="11">
                  <c:v>230</c:v>
                </c:pt>
                <c:pt idx="12">
                  <c:v>270</c:v>
                </c:pt>
                <c:pt idx="13">
                  <c:v>300</c:v>
                </c:pt>
                <c:pt idx="14">
                  <c:v>320</c:v>
                </c:pt>
                <c:pt idx="15">
                  <c:v>340</c:v>
                </c:pt>
                <c:pt idx="16">
                  <c:v>360</c:v>
                </c:pt>
                <c:pt idx="17">
                  <c:v>380</c:v>
                </c:pt>
                <c:pt idx="18">
                  <c:v>420</c:v>
                </c:pt>
                <c:pt idx="19">
                  <c:v>460</c:v>
                </c:pt>
                <c:pt idx="20">
                  <c:v>500</c:v>
                </c:pt>
                <c:pt idx="21">
                  <c:v>500</c:v>
                </c:pt>
                <c:pt idx="22">
                  <c:v>500</c:v>
                </c:pt>
                <c:pt idx="23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67-45D1-AA13-228DE96D8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952415"/>
        <c:axId val="1898950975"/>
      </c:lineChart>
      <c:catAx>
        <c:axId val="189895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0975"/>
        <c:crosses val="autoZero"/>
        <c:auto val="1"/>
        <c:lblAlgn val="ctr"/>
        <c:lblOffset val="100"/>
        <c:noMultiLvlLbl val="0"/>
      </c:catAx>
      <c:valAx>
        <c:axId val="189895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REPORTE CONSUMO</a:t>
            </a:r>
            <a:r>
              <a:rPr lang="es-CO" baseline="0"/>
              <a:t> VS HORA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CONSOLIDADO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'11-MAYO-2026  '!$D$5:$D$28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10</c:v>
                </c:pt>
                <c:pt idx="16">
                  <c:v>10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30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37-42A3-89C7-B4041AEDC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719775"/>
        <c:axId val="1210720255"/>
      </c:lineChart>
      <c:catAx>
        <c:axId val="121071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20255"/>
        <c:crosses val="autoZero"/>
        <c:auto val="1"/>
        <c:lblAlgn val="ctr"/>
        <c:lblOffset val="100"/>
        <c:noMultiLvlLbl val="0"/>
      </c:catAx>
      <c:valAx>
        <c:axId val="121072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</a:t>
                </a:r>
                <a:r>
                  <a:rPr lang="es-CO" baseline="0"/>
                  <a:t>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1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REPORTE CONSOLIDADO CONSUMO VS HORA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'11-MAYO-2026  '!$B$4</c:f>
              <c:strCache>
                <c:ptCount val="1"/>
                <c:pt idx="0">
                  <c:v>Hora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'11-MAYO-2026  '!$E$5:$E$28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40</c:v>
                </c:pt>
                <c:pt idx="6">
                  <c:v>60</c:v>
                </c:pt>
                <c:pt idx="7">
                  <c:v>80</c:v>
                </c:pt>
                <c:pt idx="8">
                  <c:v>110</c:v>
                </c:pt>
                <c:pt idx="9">
                  <c:v>140</c:v>
                </c:pt>
                <c:pt idx="10">
                  <c:v>170</c:v>
                </c:pt>
                <c:pt idx="11">
                  <c:v>200</c:v>
                </c:pt>
                <c:pt idx="12">
                  <c:v>220</c:v>
                </c:pt>
                <c:pt idx="13">
                  <c:v>240</c:v>
                </c:pt>
                <c:pt idx="14">
                  <c:v>260</c:v>
                </c:pt>
                <c:pt idx="15">
                  <c:v>270</c:v>
                </c:pt>
                <c:pt idx="16">
                  <c:v>280</c:v>
                </c:pt>
                <c:pt idx="17">
                  <c:v>300</c:v>
                </c:pt>
                <c:pt idx="18">
                  <c:v>320</c:v>
                </c:pt>
                <c:pt idx="19">
                  <c:v>340</c:v>
                </c:pt>
                <c:pt idx="20">
                  <c:v>360</c:v>
                </c:pt>
                <c:pt idx="21">
                  <c:v>390</c:v>
                </c:pt>
                <c:pt idx="22">
                  <c:v>390</c:v>
                </c:pt>
                <c:pt idx="23">
                  <c:v>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D1-4224-888F-E241177C7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952415"/>
        <c:axId val="1898950975"/>
      </c:lineChart>
      <c:catAx>
        <c:axId val="189895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0975"/>
        <c:crosses val="autoZero"/>
        <c:auto val="1"/>
        <c:lblAlgn val="ctr"/>
        <c:lblOffset val="100"/>
        <c:noMultiLvlLbl val="0"/>
      </c:catAx>
      <c:valAx>
        <c:axId val="189895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REPORTE CONSUMO</a:t>
            </a:r>
            <a:r>
              <a:rPr lang="es-CO" baseline="0"/>
              <a:t> VS HORA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CONSOLIDADO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'12-MAYO-2026  '!$D$5:$D$28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</c:v>
                </c:pt>
                <c:pt idx="5">
                  <c:v>20</c:v>
                </c:pt>
                <c:pt idx="6">
                  <c:v>20</c:v>
                </c:pt>
                <c:pt idx="7">
                  <c:v>30</c:v>
                </c:pt>
                <c:pt idx="8">
                  <c:v>30</c:v>
                </c:pt>
                <c:pt idx="9">
                  <c:v>20</c:v>
                </c:pt>
                <c:pt idx="10">
                  <c:v>20</c:v>
                </c:pt>
                <c:pt idx="11">
                  <c:v>30</c:v>
                </c:pt>
                <c:pt idx="12">
                  <c:v>30</c:v>
                </c:pt>
                <c:pt idx="13">
                  <c:v>20</c:v>
                </c:pt>
                <c:pt idx="14">
                  <c:v>20</c:v>
                </c:pt>
                <c:pt idx="15">
                  <c:v>10</c:v>
                </c:pt>
                <c:pt idx="16">
                  <c:v>10</c:v>
                </c:pt>
                <c:pt idx="17">
                  <c:v>30</c:v>
                </c:pt>
                <c:pt idx="18">
                  <c:v>20</c:v>
                </c:pt>
                <c:pt idx="19">
                  <c:v>20</c:v>
                </c:pt>
                <c:pt idx="20">
                  <c:v>30</c:v>
                </c:pt>
                <c:pt idx="21">
                  <c:v>30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1E-4AF4-95DC-09828FF55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719775"/>
        <c:axId val="1210720255"/>
      </c:lineChart>
      <c:catAx>
        <c:axId val="121071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20255"/>
        <c:crosses val="autoZero"/>
        <c:auto val="1"/>
        <c:lblAlgn val="ctr"/>
        <c:lblOffset val="100"/>
        <c:noMultiLvlLbl val="0"/>
      </c:catAx>
      <c:valAx>
        <c:axId val="121072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</a:t>
                </a:r>
                <a:r>
                  <a:rPr lang="es-CO" baseline="0"/>
                  <a:t>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1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REPORTE CONSOLIDADO CONSUMO VS HORA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'12-MAYO-2026  '!$B$4</c:f>
              <c:strCache>
                <c:ptCount val="1"/>
                <c:pt idx="0">
                  <c:v>Hora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'12-MAYO-2026  '!$E$5:$E$28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</c:v>
                </c:pt>
                <c:pt idx="5">
                  <c:v>50</c:v>
                </c:pt>
                <c:pt idx="6">
                  <c:v>70</c:v>
                </c:pt>
                <c:pt idx="7">
                  <c:v>100</c:v>
                </c:pt>
                <c:pt idx="8">
                  <c:v>130</c:v>
                </c:pt>
                <c:pt idx="9">
                  <c:v>150</c:v>
                </c:pt>
                <c:pt idx="10">
                  <c:v>170</c:v>
                </c:pt>
                <c:pt idx="11">
                  <c:v>200</c:v>
                </c:pt>
                <c:pt idx="12">
                  <c:v>230</c:v>
                </c:pt>
                <c:pt idx="13">
                  <c:v>250</c:v>
                </c:pt>
                <c:pt idx="14">
                  <c:v>270</c:v>
                </c:pt>
                <c:pt idx="15">
                  <c:v>280</c:v>
                </c:pt>
                <c:pt idx="16">
                  <c:v>290</c:v>
                </c:pt>
                <c:pt idx="17">
                  <c:v>320</c:v>
                </c:pt>
                <c:pt idx="18">
                  <c:v>340</c:v>
                </c:pt>
                <c:pt idx="19">
                  <c:v>360</c:v>
                </c:pt>
                <c:pt idx="20">
                  <c:v>390</c:v>
                </c:pt>
                <c:pt idx="21">
                  <c:v>420</c:v>
                </c:pt>
                <c:pt idx="22">
                  <c:v>420</c:v>
                </c:pt>
                <c:pt idx="23">
                  <c:v>420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FC-43C5-A647-8FF072E6D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952415"/>
        <c:axId val="1898950975"/>
      </c:lineChart>
      <c:catAx>
        <c:axId val="189895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0975"/>
        <c:crosses val="autoZero"/>
        <c:auto val="1"/>
        <c:lblAlgn val="ctr"/>
        <c:lblOffset val="100"/>
        <c:noMultiLvlLbl val="0"/>
      </c:catAx>
      <c:valAx>
        <c:axId val="189895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REPORTE CONSUMO</a:t>
            </a:r>
            <a:r>
              <a:rPr lang="es-CO" baseline="0"/>
              <a:t> VS HORA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CONSOLIDADO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'13-MAYO-2026  '!$D$5:$D$28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30</c:v>
                </c:pt>
                <c:pt idx="19">
                  <c:v>20</c:v>
                </c:pt>
                <c:pt idx="20">
                  <c:v>20</c:v>
                </c:pt>
                <c:pt idx="21">
                  <c:v>30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F0-4BF0-90F7-1C897041B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719775"/>
        <c:axId val="1210720255"/>
      </c:lineChart>
      <c:catAx>
        <c:axId val="121071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20255"/>
        <c:crosses val="autoZero"/>
        <c:auto val="1"/>
        <c:lblAlgn val="ctr"/>
        <c:lblOffset val="100"/>
        <c:noMultiLvlLbl val="0"/>
      </c:catAx>
      <c:valAx>
        <c:axId val="121072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</a:t>
                </a:r>
                <a:r>
                  <a:rPr lang="es-CO" baseline="0"/>
                  <a:t>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1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REPORTE CONSOLIDADO CONSUMO VS HORA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'13-MAYO-2026  '!$B$4</c:f>
              <c:strCache>
                <c:ptCount val="1"/>
                <c:pt idx="0">
                  <c:v>Hora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'13-MAYO-2026  '!$E$5:$E$28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</c:v>
                </c:pt>
                <c:pt idx="5">
                  <c:v>50</c:v>
                </c:pt>
                <c:pt idx="6">
                  <c:v>70</c:v>
                </c:pt>
                <c:pt idx="7">
                  <c:v>90</c:v>
                </c:pt>
                <c:pt idx="8">
                  <c:v>110</c:v>
                </c:pt>
                <c:pt idx="9">
                  <c:v>140</c:v>
                </c:pt>
                <c:pt idx="10">
                  <c:v>170</c:v>
                </c:pt>
                <c:pt idx="11">
                  <c:v>200</c:v>
                </c:pt>
                <c:pt idx="12">
                  <c:v>230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370</c:v>
                </c:pt>
                <c:pt idx="19">
                  <c:v>390</c:v>
                </c:pt>
                <c:pt idx="20">
                  <c:v>410</c:v>
                </c:pt>
                <c:pt idx="21">
                  <c:v>440</c:v>
                </c:pt>
                <c:pt idx="22">
                  <c:v>440</c:v>
                </c:pt>
                <c:pt idx="23">
                  <c:v>440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F1-4C00-9B45-68A7BF3DF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952415"/>
        <c:axId val="1898950975"/>
      </c:lineChart>
      <c:catAx>
        <c:axId val="189895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0975"/>
        <c:crosses val="autoZero"/>
        <c:auto val="1"/>
        <c:lblAlgn val="ctr"/>
        <c:lblOffset val="100"/>
        <c:noMultiLvlLbl val="0"/>
      </c:catAx>
      <c:valAx>
        <c:axId val="189895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REPORTE CONSUMO</a:t>
            </a:r>
            <a:r>
              <a:rPr lang="es-CO" baseline="0"/>
              <a:t> VS HORA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CONSOLIDADO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'14-MAYO-2026 '!$D$5:$D$28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30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50</c:v>
                </c:pt>
                <c:pt idx="19">
                  <c:v>30</c:v>
                </c:pt>
                <c:pt idx="20">
                  <c:v>30</c:v>
                </c:pt>
                <c:pt idx="21">
                  <c:v>40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18-42F0-88A3-115AAF837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719775"/>
        <c:axId val="1210720255"/>
      </c:lineChart>
      <c:catAx>
        <c:axId val="121071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20255"/>
        <c:crosses val="autoZero"/>
        <c:auto val="1"/>
        <c:lblAlgn val="ctr"/>
        <c:lblOffset val="100"/>
        <c:noMultiLvlLbl val="0"/>
      </c:catAx>
      <c:valAx>
        <c:axId val="121072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</a:t>
                </a:r>
                <a:r>
                  <a:rPr lang="es-CO" baseline="0"/>
                  <a:t>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1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REPORTE CONSOLIDADO CONSUMO VS HORA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'14-MAYO-2026 '!$B$4</c:f>
              <c:strCache>
                <c:ptCount val="1"/>
                <c:pt idx="0">
                  <c:v>Hora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'14-MAYO-2026 '!$E$5:$E$28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40</c:v>
                </c:pt>
                <c:pt idx="6">
                  <c:v>70</c:v>
                </c:pt>
                <c:pt idx="7">
                  <c:v>90</c:v>
                </c:pt>
                <c:pt idx="8">
                  <c:v>110</c:v>
                </c:pt>
                <c:pt idx="9">
                  <c:v>130</c:v>
                </c:pt>
                <c:pt idx="10">
                  <c:v>150</c:v>
                </c:pt>
                <c:pt idx="11">
                  <c:v>170</c:v>
                </c:pt>
                <c:pt idx="12">
                  <c:v>190</c:v>
                </c:pt>
                <c:pt idx="13">
                  <c:v>210</c:v>
                </c:pt>
                <c:pt idx="14">
                  <c:v>230</c:v>
                </c:pt>
                <c:pt idx="15">
                  <c:v>250</c:v>
                </c:pt>
                <c:pt idx="16">
                  <c:v>270</c:v>
                </c:pt>
                <c:pt idx="17">
                  <c:v>290</c:v>
                </c:pt>
                <c:pt idx="18">
                  <c:v>340</c:v>
                </c:pt>
                <c:pt idx="19">
                  <c:v>370</c:v>
                </c:pt>
                <c:pt idx="20">
                  <c:v>400</c:v>
                </c:pt>
                <c:pt idx="21">
                  <c:v>440</c:v>
                </c:pt>
                <c:pt idx="22">
                  <c:v>440</c:v>
                </c:pt>
                <c:pt idx="23">
                  <c:v>440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32-47BB-9DD1-9763BE492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952415"/>
        <c:axId val="1898950975"/>
      </c:lineChart>
      <c:catAx>
        <c:axId val="189895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0975"/>
        <c:crosses val="autoZero"/>
        <c:auto val="1"/>
        <c:lblAlgn val="ctr"/>
        <c:lblOffset val="100"/>
        <c:noMultiLvlLbl val="0"/>
      </c:catAx>
      <c:valAx>
        <c:axId val="189895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REPORTE CONSUMO</a:t>
            </a:r>
            <a:r>
              <a:rPr lang="es-CO" baseline="0"/>
              <a:t> VS HORA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CONSOLIDADO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'15-MAYO-2026  '!$D$5:$D$28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10</c:v>
                </c:pt>
                <c:pt idx="7">
                  <c:v>20</c:v>
                </c:pt>
                <c:pt idx="8">
                  <c:v>20</c:v>
                </c:pt>
                <c:pt idx="9">
                  <c:v>30</c:v>
                </c:pt>
                <c:pt idx="10">
                  <c:v>40</c:v>
                </c:pt>
                <c:pt idx="11">
                  <c:v>40</c:v>
                </c:pt>
                <c:pt idx="12">
                  <c:v>20</c:v>
                </c:pt>
                <c:pt idx="13">
                  <c:v>20</c:v>
                </c:pt>
                <c:pt idx="14">
                  <c:v>40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23-4272-8BEB-0B8960625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719775"/>
        <c:axId val="1210720255"/>
      </c:lineChart>
      <c:catAx>
        <c:axId val="121071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20255"/>
        <c:crosses val="autoZero"/>
        <c:auto val="1"/>
        <c:lblAlgn val="ctr"/>
        <c:lblOffset val="100"/>
        <c:noMultiLvlLbl val="0"/>
      </c:catAx>
      <c:valAx>
        <c:axId val="121072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</a:t>
                </a:r>
                <a:r>
                  <a:rPr lang="es-CO" baseline="0"/>
                  <a:t>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1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REPORTE CONSOLIDADO CONSUMO VS HORA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'15-MAYO-2026  '!$B$4</c:f>
              <c:strCache>
                <c:ptCount val="1"/>
                <c:pt idx="0">
                  <c:v>Hora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'15-MAYO-2026  '!$E$5:$E$28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40</c:v>
                </c:pt>
                <c:pt idx="6">
                  <c:v>50</c:v>
                </c:pt>
                <c:pt idx="7">
                  <c:v>70</c:v>
                </c:pt>
                <c:pt idx="8">
                  <c:v>90</c:v>
                </c:pt>
                <c:pt idx="9">
                  <c:v>120</c:v>
                </c:pt>
                <c:pt idx="10">
                  <c:v>160</c:v>
                </c:pt>
                <c:pt idx="11">
                  <c:v>200</c:v>
                </c:pt>
                <c:pt idx="12">
                  <c:v>220</c:v>
                </c:pt>
                <c:pt idx="13">
                  <c:v>240</c:v>
                </c:pt>
                <c:pt idx="14">
                  <c:v>280</c:v>
                </c:pt>
                <c:pt idx="15">
                  <c:v>310</c:v>
                </c:pt>
                <c:pt idx="16">
                  <c:v>340</c:v>
                </c:pt>
                <c:pt idx="17">
                  <c:v>370</c:v>
                </c:pt>
                <c:pt idx="18">
                  <c:v>390</c:v>
                </c:pt>
                <c:pt idx="19">
                  <c:v>410</c:v>
                </c:pt>
                <c:pt idx="20">
                  <c:v>430</c:v>
                </c:pt>
                <c:pt idx="21">
                  <c:v>450</c:v>
                </c:pt>
                <c:pt idx="22">
                  <c:v>450</c:v>
                </c:pt>
                <c:pt idx="23">
                  <c:v>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05-4873-AE58-633373505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952415"/>
        <c:axId val="1898950975"/>
      </c:lineChart>
      <c:catAx>
        <c:axId val="189895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0975"/>
        <c:crosses val="autoZero"/>
        <c:auto val="1"/>
        <c:lblAlgn val="ctr"/>
        <c:lblOffset val="100"/>
        <c:noMultiLvlLbl val="0"/>
      </c:catAx>
      <c:valAx>
        <c:axId val="189895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REPORTE CONSUMO</a:t>
            </a:r>
            <a:r>
              <a:rPr lang="es-CO" baseline="0"/>
              <a:t> VS HORA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CONSOLIDADO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'16-MAYO-2026 '!$D$5:$D$28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10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30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9E-4491-99C6-5EE141E1A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719775"/>
        <c:axId val="1210720255"/>
      </c:lineChart>
      <c:catAx>
        <c:axId val="121071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20255"/>
        <c:crosses val="autoZero"/>
        <c:auto val="1"/>
        <c:lblAlgn val="ctr"/>
        <c:lblOffset val="100"/>
        <c:noMultiLvlLbl val="0"/>
      </c:catAx>
      <c:valAx>
        <c:axId val="121072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</a:t>
                </a:r>
                <a:r>
                  <a:rPr lang="es-CO" baseline="0"/>
                  <a:t>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1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REPORTE CONSOLIDADO CONSUMO VS HORA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'16-MAYO-2026 '!$B$4</c:f>
              <c:strCache>
                <c:ptCount val="1"/>
                <c:pt idx="0">
                  <c:v>Hora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'16-MAYO-2026 '!$E$5:$E$28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90</c:v>
                </c:pt>
                <c:pt idx="9">
                  <c:v>120</c:v>
                </c:pt>
                <c:pt idx="10">
                  <c:v>150</c:v>
                </c:pt>
                <c:pt idx="11">
                  <c:v>180</c:v>
                </c:pt>
                <c:pt idx="12">
                  <c:v>200</c:v>
                </c:pt>
                <c:pt idx="13">
                  <c:v>220</c:v>
                </c:pt>
                <c:pt idx="14">
                  <c:v>240</c:v>
                </c:pt>
                <c:pt idx="15">
                  <c:v>260</c:v>
                </c:pt>
                <c:pt idx="16">
                  <c:v>280</c:v>
                </c:pt>
                <c:pt idx="17">
                  <c:v>310</c:v>
                </c:pt>
                <c:pt idx="18">
                  <c:v>330</c:v>
                </c:pt>
                <c:pt idx="19">
                  <c:v>350</c:v>
                </c:pt>
                <c:pt idx="20">
                  <c:v>370</c:v>
                </c:pt>
                <c:pt idx="21">
                  <c:v>390</c:v>
                </c:pt>
                <c:pt idx="22">
                  <c:v>390</c:v>
                </c:pt>
                <c:pt idx="23">
                  <c:v>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89-41C3-99CE-9E2B1ECC9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952415"/>
        <c:axId val="1898950975"/>
      </c:lineChart>
      <c:catAx>
        <c:axId val="189895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0975"/>
        <c:crosses val="autoZero"/>
        <c:auto val="1"/>
        <c:lblAlgn val="ctr"/>
        <c:lblOffset val="100"/>
        <c:noMultiLvlLbl val="0"/>
      </c:catAx>
      <c:valAx>
        <c:axId val="189895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REPORTE CONSUMO</a:t>
            </a:r>
            <a:r>
              <a:rPr lang="es-CO" baseline="0"/>
              <a:t> VS HORA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CONSOLIDADO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'17-MAYO-2026'!$D$5:$D$28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40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30</c:v>
                </c:pt>
                <c:pt idx="19">
                  <c:v>20</c:v>
                </c:pt>
                <c:pt idx="20">
                  <c:v>20</c:v>
                </c:pt>
                <c:pt idx="21">
                  <c:v>30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89-4683-B992-CB37172AF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719775"/>
        <c:axId val="1210720255"/>
      </c:lineChart>
      <c:catAx>
        <c:axId val="121071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20255"/>
        <c:crosses val="autoZero"/>
        <c:auto val="1"/>
        <c:lblAlgn val="ctr"/>
        <c:lblOffset val="100"/>
        <c:noMultiLvlLbl val="0"/>
      </c:catAx>
      <c:valAx>
        <c:axId val="121072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</a:t>
                </a:r>
                <a:r>
                  <a:rPr lang="es-CO" baseline="0"/>
                  <a:t>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1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REPORTE CONSOLIDADO CONSUMO VS HORA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'17-MAYO-2026'!$B$4</c:f>
              <c:strCache>
                <c:ptCount val="1"/>
                <c:pt idx="0">
                  <c:v>Hora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'17-MAYO-2026'!$E$5:$E$28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40</c:v>
                </c:pt>
                <c:pt idx="6">
                  <c:v>60</c:v>
                </c:pt>
                <c:pt idx="7">
                  <c:v>90</c:v>
                </c:pt>
                <c:pt idx="8">
                  <c:v>120</c:v>
                </c:pt>
                <c:pt idx="9">
                  <c:v>150</c:v>
                </c:pt>
                <c:pt idx="10">
                  <c:v>180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370</c:v>
                </c:pt>
                <c:pt idx="19">
                  <c:v>390</c:v>
                </c:pt>
                <c:pt idx="20">
                  <c:v>410</c:v>
                </c:pt>
                <c:pt idx="21">
                  <c:v>440</c:v>
                </c:pt>
                <c:pt idx="22">
                  <c:v>440</c:v>
                </c:pt>
                <c:pt idx="23">
                  <c:v>440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D6-4646-9451-E346C49E1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952415"/>
        <c:axId val="1898950975"/>
      </c:lineChart>
      <c:catAx>
        <c:axId val="189895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0975"/>
        <c:crosses val="autoZero"/>
        <c:auto val="1"/>
        <c:lblAlgn val="ctr"/>
        <c:lblOffset val="100"/>
        <c:noMultiLvlLbl val="0"/>
      </c:catAx>
      <c:valAx>
        <c:axId val="189895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REPORTE CONSUMO</a:t>
            </a:r>
            <a:r>
              <a:rPr lang="es-CO" baseline="0"/>
              <a:t> VS HORA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CONSOLIDADO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'18-MAYO-2026 '!$D$5:$D$28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40</c:v>
                </c:pt>
                <c:pt idx="11">
                  <c:v>40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30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46-4A78-9740-6BC627496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719775"/>
        <c:axId val="1210720255"/>
      </c:lineChart>
      <c:catAx>
        <c:axId val="121071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20255"/>
        <c:crosses val="autoZero"/>
        <c:auto val="1"/>
        <c:lblAlgn val="ctr"/>
        <c:lblOffset val="100"/>
        <c:noMultiLvlLbl val="0"/>
      </c:catAx>
      <c:valAx>
        <c:axId val="121072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</a:t>
                </a:r>
                <a:r>
                  <a:rPr lang="es-CO" baseline="0"/>
                  <a:t>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1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REPORTE CONSOLIDADO CONSUMO VS HORA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'18-MAYO-2026 '!$B$4</c:f>
              <c:strCache>
                <c:ptCount val="1"/>
                <c:pt idx="0">
                  <c:v>Hora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'18-MAYO-2026 '!$E$5:$E$28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40</c:v>
                </c:pt>
                <c:pt idx="6">
                  <c:v>60</c:v>
                </c:pt>
                <c:pt idx="7">
                  <c:v>90</c:v>
                </c:pt>
                <c:pt idx="8">
                  <c:v>120</c:v>
                </c:pt>
                <c:pt idx="9">
                  <c:v>150</c:v>
                </c:pt>
                <c:pt idx="10">
                  <c:v>190</c:v>
                </c:pt>
                <c:pt idx="11">
                  <c:v>230</c:v>
                </c:pt>
                <c:pt idx="12">
                  <c:v>260</c:v>
                </c:pt>
                <c:pt idx="13">
                  <c:v>290</c:v>
                </c:pt>
                <c:pt idx="14">
                  <c:v>320</c:v>
                </c:pt>
                <c:pt idx="15">
                  <c:v>340</c:v>
                </c:pt>
                <c:pt idx="16">
                  <c:v>360</c:v>
                </c:pt>
                <c:pt idx="17">
                  <c:v>380</c:v>
                </c:pt>
                <c:pt idx="18">
                  <c:v>410</c:v>
                </c:pt>
                <c:pt idx="19">
                  <c:v>430</c:v>
                </c:pt>
                <c:pt idx="20">
                  <c:v>450</c:v>
                </c:pt>
                <c:pt idx="21">
                  <c:v>470</c:v>
                </c:pt>
                <c:pt idx="22">
                  <c:v>470</c:v>
                </c:pt>
                <c:pt idx="23">
                  <c:v>470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BD-4517-96BD-7D46479FF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952415"/>
        <c:axId val="1898950975"/>
      </c:lineChart>
      <c:catAx>
        <c:axId val="189895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0975"/>
        <c:crosses val="autoZero"/>
        <c:auto val="1"/>
        <c:lblAlgn val="ctr"/>
        <c:lblOffset val="100"/>
        <c:noMultiLvlLbl val="0"/>
      </c:catAx>
      <c:valAx>
        <c:axId val="189895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REPORTE CONSUMO</a:t>
            </a:r>
            <a:r>
              <a:rPr lang="es-CO" baseline="0"/>
              <a:t> VS HORA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CONSOLIDADO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'19-MAYO-2026  '!$D$5:$D$28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10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40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AA-495A-83F6-C70B03783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719775"/>
        <c:axId val="1210720255"/>
      </c:lineChart>
      <c:catAx>
        <c:axId val="121071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20255"/>
        <c:crosses val="autoZero"/>
        <c:auto val="1"/>
        <c:lblAlgn val="ctr"/>
        <c:lblOffset val="100"/>
        <c:noMultiLvlLbl val="0"/>
      </c:catAx>
      <c:valAx>
        <c:axId val="121072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</a:t>
                </a:r>
                <a:r>
                  <a:rPr lang="es-CO" baseline="0"/>
                  <a:t>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1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REPORTE CONSOLIDADO CONSUMO VS HORA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'19-MAYO-2026  '!$B$4</c:f>
              <c:strCache>
                <c:ptCount val="1"/>
                <c:pt idx="0">
                  <c:v>Hora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'19-MAYO-2026  '!$E$5:$E$28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50</c:v>
                </c:pt>
                <c:pt idx="6">
                  <c:v>90</c:v>
                </c:pt>
                <c:pt idx="7">
                  <c:v>110</c:v>
                </c:pt>
                <c:pt idx="8">
                  <c:v>130</c:v>
                </c:pt>
                <c:pt idx="9">
                  <c:v>150</c:v>
                </c:pt>
                <c:pt idx="10">
                  <c:v>170</c:v>
                </c:pt>
                <c:pt idx="11">
                  <c:v>180</c:v>
                </c:pt>
                <c:pt idx="12">
                  <c:v>200</c:v>
                </c:pt>
                <c:pt idx="13">
                  <c:v>220</c:v>
                </c:pt>
                <c:pt idx="14">
                  <c:v>240</c:v>
                </c:pt>
                <c:pt idx="15">
                  <c:v>260</c:v>
                </c:pt>
                <c:pt idx="16">
                  <c:v>280</c:v>
                </c:pt>
                <c:pt idx="17">
                  <c:v>300</c:v>
                </c:pt>
                <c:pt idx="18">
                  <c:v>320</c:v>
                </c:pt>
                <c:pt idx="19">
                  <c:v>340</c:v>
                </c:pt>
                <c:pt idx="20">
                  <c:v>360</c:v>
                </c:pt>
                <c:pt idx="21">
                  <c:v>400</c:v>
                </c:pt>
                <c:pt idx="22">
                  <c:v>400</c:v>
                </c:pt>
                <c:pt idx="23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AD-44B6-BB22-555F7CE92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952415"/>
        <c:axId val="1898950975"/>
      </c:lineChart>
      <c:catAx>
        <c:axId val="189895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0975"/>
        <c:crosses val="autoZero"/>
        <c:auto val="1"/>
        <c:lblAlgn val="ctr"/>
        <c:lblOffset val="100"/>
        <c:noMultiLvlLbl val="0"/>
      </c:catAx>
      <c:valAx>
        <c:axId val="189895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REPORTE CONSUMO</a:t>
            </a:r>
            <a:r>
              <a:rPr lang="es-CO" baseline="0"/>
              <a:t> VS HORA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CONSOLIDADO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'20-MAYO-2026'!$D$5:$D$28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50</c:v>
                </c:pt>
                <c:pt idx="7">
                  <c:v>20</c:v>
                </c:pt>
                <c:pt idx="8">
                  <c:v>30</c:v>
                </c:pt>
                <c:pt idx="9">
                  <c:v>30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DF-430C-A4A2-B982EF79F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719775"/>
        <c:axId val="1210720255"/>
      </c:lineChart>
      <c:catAx>
        <c:axId val="121071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20255"/>
        <c:crosses val="autoZero"/>
        <c:auto val="1"/>
        <c:lblAlgn val="ctr"/>
        <c:lblOffset val="100"/>
        <c:noMultiLvlLbl val="0"/>
      </c:catAx>
      <c:valAx>
        <c:axId val="121072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</a:t>
                </a:r>
                <a:r>
                  <a:rPr lang="es-CO" baseline="0"/>
                  <a:t>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1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REPORTE CONSOLIDADO CONSUMO VS HORA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'20-MAYO-2026'!$B$4</c:f>
              <c:strCache>
                <c:ptCount val="1"/>
                <c:pt idx="0">
                  <c:v>Hora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'20-MAYO-2026'!$E$5:$E$28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40</c:v>
                </c:pt>
                <c:pt idx="6">
                  <c:v>90</c:v>
                </c:pt>
                <c:pt idx="7">
                  <c:v>110</c:v>
                </c:pt>
                <c:pt idx="8">
                  <c:v>140</c:v>
                </c:pt>
                <c:pt idx="9">
                  <c:v>170</c:v>
                </c:pt>
                <c:pt idx="10">
                  <c:v>190</c:v>
                </c:pt>
                <c:pt idx="11">
                  <c:v>210</c:v>
                </c:pt>
                <c:pt idx="12">
                  <c:v>230</c:v>
                </c:pt>
                <c:pt idx="13">
                  <c:v>250</c:v>
                </c:pt>
                <c:pt idx="14">
                  <c:v>270</c:v>
                </c:pt>
                <c:pt idx="15">
                  <c:v>290</c:v>
                </c:pt>
                <c:pt idx="16">
                  <c:v>310</c:v>
                </c:pt>
                <c:pt idx="17">
                  <c:v>330</c:v>
                </c:pt>
                <c:pt idx="18">
                  <c:v>350</c:v>
                </c:pt>
                <c:pt idx="19">
                  <c:v>370</c:v>
                </c:pt>
                <c:pt idx="20">
                  <c:v>390</c:v>
                </c:pt>
                <c:pt idx="21">
                  <c:v>410</c:v>
                </c:pt>
                <c:pt idx="22">
                  <c:v>410</c:v>
                </c:pt>
                <c:pt idx="23">
                  <c:v>410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DF-499A-A953-092C53AC4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952415"/>
        <c:axId val="1898950975"/>
      </c:lineChart>
      <c:catAx>
        <c:axId val="189895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0975"/>
        <c:crosses val="autoZero"/>
        <c:auto val="1"/>
        <c:lblAlgn val="ctr"/>
        <c:lblOffset val="100"/>
        <c:noMultiLvlLbl val="0"/>
      </c:catAx>
      <c:valAx>
        <c:axId val="189895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REPORTE CONSUMO</a:t>
            </a:r>
            <a:r>
              <a:rPr lang="es-CO" baseline="0"/>
              <a:t> VS HORA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CONSOLIDADO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'21-MAYO-2026 '!$D$5:$D$28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30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72-43DB-A544-A3ECFA12A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719775"/>
        <c:axId val="1210720255"/>
      </c:lineChart>
      <c:catAx>
        <c:axId val="121071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20255"/>
        <c:crosses val="autoZero"/>
        <c:auto val="1"/>
        <c:lblAlgn val="ctr"/>
        <c:lblOffset val="100"/>
        <c:noMultiLvlLbl val="0"/>
      </c:catAx>
      <c:valAx>
        <c:axId val="121072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</a:t>
                </a:r>
                <a:r>
                  <a:rPr lang="es-CO" baseline="0"/>
                  <a:t>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1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REPORTE CONSOLIDADO CONSUMO VS HORA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'21-MAYO-2026 '!$B$4</c:f>
              <c:strCache>
                <c:ptCount val="1"/>
                <c:pt idx="0">
                  <c:v>Hora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'21-MAYO-2026 '!$E$5:$E$28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40</c:v>
                </c:pt>
                <c:pt idx="6">
                  <c:v>60</c:v>
                </c:pt>
                <c:pt idx="7">
                  <c:v>90</c:v>
                </c:pt>
                <c:pt idx="8">
                  <c:v>110</c:v>
                </c:pt>
                <c:pt idx="9">
                  <c:v>130</c:v>
                </c:pt>
                <c:pt idx="10">
                  <c:v>150</c:v>
                </c:pt>
                <c:pt idx="11">
                  <c:v>170</c:v>
                </c:pt>
                <c:pt idx="12">
                  <c:v>190</c:v>
                </c:pt>
                <c:pt idx="13">
                  <c:v>210</c:v>
                </c:pt>
                <c:pt idx="14">
                  <c:v>230</c:v>
                </c:pt>
                <c:pt idx="15">
                  <c:v>250</c:v>
                </c:pt>
                <c:pt idx="16">
                  <c:v>270</c:v>
                </c:pt>
                <c:pt idx="17">
                  <c:v>290</c:v>
                </c:pt>
                <c:pt idx="18">
                  <c:v>310</c:v>
                </c:pt>
                <c:pt idx="19">
                  <c:v>330</c:v>
                </c:pt>
                <c:pt idx="20">
                  <c:v>350</c:v>
                </c:pt>
                <c:pt idx="21">
                  <c:v>370</c:v>
                </c:pt>
                <c:pt idx="22">
                  <c:v>370</c:v>
                </c:pt>
                <c:pt idx="23">
                  <c:v>370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40-416F-A280-82B56C07D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952415"/>
        <c:axId val="1898950975"/>
      </c:lineChart>
      <c:catAx>
        <c:axId val="189895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0975"/>
        <c:crosses val="autoZero"/>
        <c:auto val="1"/>
        <c:lblAlgn val="ctr"/>
        <c:lblOffset val="100"/>
        <c:noMultiLvlLbl val="0"/>
      </c:catAx>
      <c:valAx>
        <c:axId val="189895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REPORTE CONSUMO</a:t>
            </a:r>
            <a:r>
              <a:rPr lang="es-CO" baseline="0"/>
              <a:t> VS HORA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CONSOLIDADO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'22-MAYO-2026  '!$D$5:$D$28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AF-4D44-9AAD-127B003CA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719775"/>
        <c:axId val="1210720255"/>
      </c:lineChart>
      <c:catAx>
        <c:axId val="121071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20255"/>
        <c:crosses val="autoZero"/>
        <c:auto val="1"/>
        <c:lblAlgn val="ctr"/>
        <c:lblOffset val="100"/>
        <c:noMultiLvlLbl val="0"/>
      </c:catAx>
      <c:valAx>
        <c:axId val="121072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</a:t>
                </a:r>
                <a:r>
                  <a:rPr lang="es-CO" baseline="0"/>
                  <a:t>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1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REPORTE CONSOLIDADO CONSUMO VS HORA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'22-MAYO-2026  '!$B$4</c:f>
              <c:strCache>
                <c:ptCount val="1"/>
                <c:pt idx="0">
                  <c:v>Hora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'22-MAYO-2026  '!$E$5:$E$28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</c:v>
                </c:pt>
                <c:pt idx="5">
                  <c:v>60</c:v>
                </c:pt>
                <c:pt idx="6">
                  <c:v>90</c:v>
                </c:pt>
                <c:pt idx="7">
                  <c:v>120</c:v>
                </c:pt>
                <c:pt idx="8">
                  <c:v>150</c:v>
                </c:pt>
                <c:pt idx="9">
                  <c:v>180</c:v>
                </c:pt>
                <c:pt idx="10">
                  <c:v>210</c:v>
                </c:pt>
                <c:pt idx="11">
                  <c:v>240</c:v>
                </c:pt>
                <c:pt idx="12">
                  <c:v>270</c:v>
                </c:pt>
                <c:pt idx="13">
                  <c:v>300</c:v>
                </c:pt>
                <c:pt idx="14">
                  <c:v>330</c:v>
                </c:pt>
                <c:pt idx="15">
                  <c:v>360</c:v>
                </c:pt>
                <c:pt idx="16">
                  <c:v>390</c:v>
                </c:pt>
                <c:pt idx="17">
                  <c:v>420</c:v>
                </c:pt>
                <c:pt idx="18">
                  <c:v>440</c:v>
                </c:pt>
                <c:pt idx="19">
                  <c:v>460</c:v>
                </c:pt>
                <c:pt idx="20">
                  <c:v>480</c:v>
                </c:pt>
                <c:pt idx="21">
                  <c:v>500</c:v>
                </c:pt>
                <c:pt idx="22">
                  <c:v>500</c:v>
                </c:pt>
                <c:pt idx="23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D9-4E88-BAAC-B2FC80917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952415"/>
        <c:axId val="1898950975"/>
      </c:lineChart>
      <c:catAx>
        <c:axId val="189895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0975"/>
        <c:crosses val="autoZero"/>
        <c:auto val="1"/>
        <c:lblAlgn val="ctr"/>
        <c:lblOffset val="100"/>
        <c:noMultiLvlLbl val="0"/>
      </c:catAx>
      <c:valAx>
        <c:axId val="189895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REPORTE CONSUMO</a:t>
            </a:r>
            <a:r>
              <a:rPr lang="es-CO" baseline="0"/>
              <a:t> VS HORA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CONSOLIDADO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'23-MAYO-2026'!$D$5:$D$28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40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20</c:v>
                </c:pt>
                <c:pt idx="14">
                  <c:v>20</c:v>
                </c:pt>
                <c:pt idx="15">
                  <c:v>30</c:v>
                </c:pt>
                <c:pt idx="16">
                  <c:v>30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A3-4BF9-99AF-255AD6134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719775"/>
        <c:axId val="1210720255"/>
      </c:lineChart>
      <c:catAx>
        <c:axId val="121071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20255"/>
        <c:crosses val="autoZero"/>
        <c:auto val="1"/>
        <c:lblAlgn val="ctr"/>
        <c:lblOffset val="100"/>
        <c:noMultiLvlLbl val="0"/>
      </c:catAx>
      <c:valAx>
        <c:axId val="121072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</a:t>
                </a:r>
                <a:r>
                  <a:rPr lang="es-CO" baseline="0"/>
                  <a:t>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1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REPORTE CONSOLIDADO CONSUMO VS HORA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'23-MAYO-2026'!$B$4</c:f>
              <c:strCache>
                <c:ptCount val="1"/>
                <c:pt idx="0">
                  <c:v>Hora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'23-MAYO-2026'!$E$5:$E$28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50</c:v>
                </c:pt>
                <c:pt idx="6">
                  <c:v>80</c:v>
                </c:pt>
                <c:pt idx="7">
                  <c:v>110</c:v>
                </c:pt>
                <c:pt idx="8">
                  <c:v>140</c:v>
                </c:pt>
                <c:pt idx="9">
                  <c:v>180</c:v>
                </c:pt>
                <c:pt idx="10">
                  <c:v>210</c:v>
                </c:pt>
                <c:pt idx="11">
                  <c:v>240</c:v>
                </c:pt>
                <c:pt idx="12">
                  <c:v>270</c:v>
                </c:pt>
                <c:pt idx="13">
                  <c:v>290</c:v>
                </c:pt>
                <c:pt idx="14">
                  <c:v>310</c:v>
                </c:pt>
                <c:pt idx="15">
                  <c:v>340</c:v>
                </c:pt>
                <c:pt idx="16">
                  <c:v>370</c:v>
                </c:pt>
                <c:pt idx="17">
                  <c:v>390</c:v>
                </c:pt>
                <c:pt idx="18">
                  <c:v>410</c:v>
                </c:pt>
                <c:pt idx="19">
                  <c:v>430</c:v>
                </c:pt>
                <c:pt idx="20">
                  <c:v>450</c:v>
                </c:pt>
                <c:pt idx="21">
                  <c:v>470</c:v>
                </c:pt>
                <c:pt idx="22">
                  <c:v>470</c:v>
                </c:pt>
                <c:pt idx="23">
                  <c:v>470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7E-4EDB-8B2C-57FA035D3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952415"/>
        <c:axId val="1898950975"/>
      </c:lineChart>
      <c:catAx>
        <c:axId val="189895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0975"/>
        <c:crosses val="autoZero"/>
        <c:auto val="1"/>
        <c:lblAlgn val="ctr"/>
        <c:lblOffset val="100"/>
        <c:noMultiLvlLbl val="0"/>
      </c:catAx>
      <c:valAx>
        <c:axId val="189895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REPORTE CONSUMO</a:t>
            </a:r>
            <a:r>
              <a:rPr lang="es-CO" baseline="0"/>
              <a:t> VS HORA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CONSOLIDADO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'24-MAYO-2026'!$D$5:$D$28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30</c:v>
                </c:pt>
                <c:pt idx="9">
                  <c:v>30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30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E4-4F03-BF3F-FCE0E63E7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719775"/>
        <c:axId val="1210720255"/>
      </c:lineChart>
      <c:catAx>
        <c:axId val="121071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20255"/>
        <c:crosses val="autoZero"/>
        <c:auto val="1"/>
        <c:lblAlgn val="ctr"/>
        <c:lblOffset val="100"/>
        <c:noMultiLvlLbl val="0"/>
      </c:catAx>
      <c:valAx>
        <c:axId val="121072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</a:t>
                </a:r>
                <a:r>
                  <a:rPr lang="es-CO" baseline="0"/>
                  <a:t>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1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REPORTE CONSOLIDADO CONSUMO VS HORA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'24-MAYO-2026'!$B$4</c:f>
              <c:strCache>
                <c:ptCount val="1"/>
                <c:pt idx="0">
                  <c:v>Hora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'24-MAYO-2026'!$E$5:$E$28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40</c:v>
                </c:pt>
                <c:pt idx="6">
                  <c:v>60</c:v>
                </c:pt>
                <c:pt idx="7">
                  <c:v>80</c:v>
                </c:pt>
                <c:pt idx="8">
                  <c:v>110</c:v>
                </c:pt>
                <c:pt idx="9">
                  <c:v>140</c:v>
                </c:pt>
                <c:pt idx="10">
                  <c:v>180</c:v>
                </c:pt>
                <c:pt idx="11">
                  <c:v>220</c:v>
                </c:pt>
                <c:pt idx="12">
                  <c:v>260</c:v>
                </c:pt>
                <c:pt idx="13">
                  <c:v>300</c:v>
                </c:pt>
                <c:pt idx="14">
                  <c:v>340</c:v>
                </c:pt>
                <c:pt idx="15">
                  <c:v>370</c:v>
                </c:pt>
                <c:pt idx="16">
                  <c:v>390</c:v>
                </c:pt>
                <c:pt idx="17">
                  <c:v>410</c:v>
                </c:pt>
                <c:pt idx="18">
                  <c:v>430</c:v>
                </c:pt>
                <c:pt idx="19">
                  <c:v>460</c:v>
                </c:pt>
                <c:pt idx="20">
                  <c:v>490</c:v>
                </c:pt>
                <c:pt idx="21">
                  <c:v>520</c:v>
                </c:pt>
                <c:pt idx="22">
                  <c:v>520</c:v>
                </c:pt>
                <c:pt idx="23">
                  <c:v>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67-4226-B0C5-2BEC8122C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952415"/>
        <c:axId val="1898950975"/>
      </c:lineChart>
      <c:catAx>
        <c:axId val="189895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0975"/>
        <c:crosses val="autoZero"/>
        <c:auto val="1"/>
        <c:lblAlgn val="ctr"/>
        <c:lblOffset val="100"/>
        <c:noMultiLvlLbl val="0"/>
      </c:catAx>
      <c:valAx>
        <c:axId val="189895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REPORTE CONSUMO</a:t>
            </a:r>
            <a:r>
              <a:rPr lang="es-CO" baseline="0"/>
              <a:t> VS HORA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CONSOLIDADO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'25-MAYO-2026'!$D$5:$D$28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33-4895-9F83-6B417DED9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719775"/>
        <c:axId val="1210720255"/>
      </c:lineChart>
      <c:catAx>
        <c:axId val="121071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20255"/>
        <c:crosses val="autoZero"/>
        <c:auto val="1"/>
        <c:lblAlgn val="ctr"/>
        <c:lblOffset val="100"/>
        <c:noMultiLvlLbl val="0"/>
      </c:catAx>
      <c:valAx>
        <c:axId val="121072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</a:t>
                </a:r>
                <a:r>
                  <a:rPr lang="es-CO" baseline="0"/>
                  <a:t>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1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REPORTE CONSOLIDADO CONSUMO VS HORA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'25-MAYO-2026'!$B$4</c:f>
              <c:strCache>
                <c:ptCount val="1"/>
                <c:pt idx="0">
                  <c:v>Hora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'25-MAYO-2026'!$E$5:$E$28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40</c:v>
                </c:pt>
                <c:pt idx="6">
                  <c:v>60</c:v>
                </c:pt>
                <c:pt idx="7">
                  <c:v>80</c:v>
                </c:pt>
                <c:pt idx="8">
                  <c:v>100</c:v>
                </c:pt>
                <c:pt idx="9">
                  <c:v>120</c:v>
                </c:pt>
                <c:pt idx="10">
                  <c:v>150</c:v>
                </c:pt>
                <c:pt idx="11">
                  <c:v>180</c:v>
                </c:pt>
                <c:pt idx="12">
                  <c:v>210</c:v>
                </c:pt>
                <c:pt idx="13">
                  <c:v>240</c:v>
                </c:pt>
                <c:pt idx="14">
                  <c:v>260</c:v>
                </c:pt>
                <c:pt idx="15">
                  <c:v>280</c:v>
                </c:pt>
                <c:pt idx="16">
                  <c:v>300</c:v>
                </c:pt>
                <c:pt idx="17">
                  <c:v>320</c:v>
                </c:pt>
                <c:pt idx="18">
                  <c:v>340</c:v>
                </c:pt>
                <c:pt idx="19">
                  <c:v>360</c:v>
                </c:pt>
                <c:pt idx="20">
                  <c:v>380</c:v>
                </c:pt>
                <c:pt idx="21">
                  <c:v>400</c:v>
                </c:pt>
                <c:pt idx="22">
                  <c:v>400</c:v>
                </c:pt>
                <c:pt idx="23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58-4A99-9364-93965C9AE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952415"/>
        <c:axId val="1898950975"/>
      </c:lineChart>
      <c:catAx>
        <c:axId val="189895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0975"/>
        <c:crosses val="autoZero"/>
        <c:auto val="1"/>
        <c:lblAlgn val="ctr"/>
        <c:lblOffset val="100"/>
        <c:noMultiLvlLbl val="0"/>
      </c:catAx>
      <c:valAx>
        <c:axId val="189895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REPORTE CONSUMO</a:t>
            </a:r>
            <a:r>
              <a:rPr lang="es-CO" baseline="0"/>
              <a:t> VS HORA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CONSOLIDADO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'26-MAYO-2026 '!$D$5:$D$28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30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30</c:v>
                </c:pt>
                <c:pt idx="21">
                  <c:v>30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F0-469C-813E-F034A7D91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719775"/>
        <c:axId val="1210720255"/>
      </c:lineChart>
      <c:catAx>
        <c:axId val="121071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20255"/>
        <c:crosses val="autoZero"/>
        <c:auto val="1"/>
        <c:lblAlgn val="ctr"/>
        <c:lblOffset val="100"/>
        <c:noMultiLvlLbl val="0"/>
      </c:catAx>
      <c:valAx>
        <c:axId val="121072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</a:t>
                </a:r>
                <a:r>
                  <a:rPr lang="es-CO" baseline="0"/>
                  <a:t>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1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REPORTE CONSOLIDADO CONSUMO VS HORA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'26-MAYO-2026 '!$B$4</c:f>
              <c:strCache>
                <c:ptCount val="1"/>
                <c:pt idx="0">
                  <c:v>Hora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'26-MAYO-2026 '!$E$5:$E$28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40</c:v>
                </c:pt>
                <c:pt idx="6">
                  <c:v>60</c:v>
                </c:pt>
                <c:pt idx="7">
                  <c:v>80</c:v>
                </c:pt>
                <c:pt idx="8">
                  <c:v>100</c:v>
                </c:pt>
                <c:pt idx="9">
                  <c:v>120</c:v>
                </c:pt>
                <c:pt idx="10">
                  <c:v>140</c:v>
                </c:pt>
                <c:pt idx="11">
                  <c:v>170</c:v>
                </c:pt>
                <c:pt idx="12">
                  <c:v>190</c:v>
                </c:pt>
                <c:pt idx="13">
                  <c:v>210</c:v>
                </c:pt>
                <c:pt idx="14">
                  <c:v>230</c:v>
                </c:pt>
                <c:pt idx="15">
                  <c:v>250</c:v>
                </c:pt>
                <c:pt idx="16">
                  <c:v>270</c:v>
                </c:pt>
                <c:pt idx="17">
                  <c:v>290</c:v>
                </c:pt>
                <c:pt idx="18">
                  <c:v>310</c:v>
                </c:pt>
                <c:pt idx="19">
                  <c:v>330</c:v>
                </c:pt>
                <c:pt idx="20">
                  <c:v>360</c:v>
                </c:pt>
                <c:pt idx="21">
                  <c:v>390</c:v>
                </c:pt>
                <c:pt idx="22">
                  <c:v>390</c:v>
                </c:pt>
                <c:pt idx="23">
                  <c:v>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B0-4A7E-8044-77EEC1A92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952415"/>
        <c:axId val="1898950975"/>
      </c:lineChart>
      <c:catAx>
        <c:axId val="189895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0975"/>
        <c:crosses val="autoZero"/>
        <c:auto val="1"/>
        <c:lblAlgn val="ctr"/>
        <c:lblOffset val="100"/>
        <c:noMultiLvlLbl val="0"/>
      </c:catAx>
      <c:valAx>
        <c:axId val="189895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REPORTE CONSUMO</a:t>
            </a:r>
            <a:r>
              <a:rPr lang="es-CO" baseline="0"/>
              <a:t> VS HORA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CONSOLIDADO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'27-MAYO-2026  '!$D$5:$D$28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40</c:v>
                </c:pt>
                <c:pt idx="7">
                  <c:v>20</c:v>
                </c:pt>
                <c:pt idx="8">
                  <c:v>30</c:v>
                </c:pt>
                <c:pt idx="9">
                  <c:v>30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30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8B-4E72-9E15-17A0AE30C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719775"/>
        <c:axId val="1210720255"/>
      </c:lineChart>
      <c:catAx>
        <c:axId val="121071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20255"/>
        <c:crosses val="autoZero"/>
        <c:auto val="1"/>
        <c:lblAlgn val="ctr"/>
        <c:lblOffset val="100"/>
        <c:noMultiLvlLbl val="0"/>
      </c:catAx>
      <c:valAx>
        <c:axId val="121072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</a:t>
                </a:r>
                <a:r>
                  <a:rPr lang="es-CO" baseline="0"/>
                  <a:t>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1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REPORTE CONSOLIDADO CONSUMO VS HORA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'27-MAYO-2026  '!$B$4</c:f>
              <c:strCache>
                <c:ptCount val="1"/>
                <c:pt idx="0">
                  <c:v>Hora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'27-MAYO-2026  '!$E$5:$E$28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40</c:v>
                </c:pt>
                <c:pt idx="6">
                  <c:v>80</c:v>
                </c:pt>
                <c:pt idx="7">
                  <c:v>100</c:v>
                </c:pt>
                <c:pt idx="8">
                  <c:v>130</c:v>
                </c:pt>
                <c:pt idx="9">
                  <c:v>160</c:v>
                </c:pt>
                <c:pt idx="10">
                  <c:v>180</c:v>
                </c:pt>
                <c:pt idx="11">
                  <c:v>200</c:v>
                </c:pt>
                <c:pt idx="12">
                  <c:v>220</c:v>
                </c:pt>
                <c:pt idx="13">
                  <c:v>240</c:v>
                </c:pt>
                <c:pt idx="14">
                  <c:v>260</c:v>
                </c:pt>
                <c:pt idx="15">
                  <c:v>280</c:v>
                </c:pt>
                <c:pt idx="16">
                  <c:v>300</c:v>
                </c:pt>
                <c:pt idx="17">
                  <c:v>320</c:v>
                </c:pt>
                <c:pt idx="18">
                  <c:v>340</c:v>
                </c:pt>
                <c:pt idx="19">
                  <c:v>360</c:v>
                </c:pt>
                <c:pt idx="20">
                  <c:v>380</c:v>
                </c:pt>
                <c:pt idx="21">
                  <c:v>410</c:v>
                </c:pt>
                <c:pt idx="22">
                  <c:v>410</c:v>
                </c:pt>
                <c:pt idx="23">
                  <c:v>410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35-46C1-87B3-0D0EE29DC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952415"/>
        <c:axId val="1898950975"/>
      </c:lineChart>
      <c:catAx>
        <c:axId val="189895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0975"/>
        <c:crosses val="autoZero"/>
        <c:auto val="1"/>
        <c:lblAlgn val="ctr"/>
        <c:lblOffset val="100"/>
        <c:noMultiLvlLbl val="0"/>
      </c:catAx>
      <c:valAx>
        <c:axId val="189895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REPORTE CONSUMO</a:t>
            </a:r>
            <a:r>
              <a:rPr lang="es-CO" baseline="0"/>
              <a:t> VS HORA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CONSOLIDADO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'28-MAYO-2026   '!$D$5:$D$28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30</c:v>
                </c:pt>
                <c:pt idx="16">
                  <c:v>20</c:v>
                </c:pt>
                <c:pt idx="17">
                  <c:v>20</c:v>
                </c:pt>
                <c:pt idx="18">
                  <c:v>30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0A-489C-8FE0-1AFC00C8E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719775"/>
        <c:axId val="1210720255"/>
      </c:lineChart>
      <c:catAx>
        <c:axId val="121071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20255"/>
        <c:crosses val="autoZero"/>
        <c:auto val="1"/>
        <c:lblAlgn val="ctr"/>
        <c:lblOffset val="100"/>
        <c:noMultiLvlLbl val="0"/>
      </c:catAx>
      <c:valAx>
        <c:axId val="121072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</a:t>
                </a:r>
                <a:r>
                  <a:rPr lang="es-CO" baseline="0"/>
                  <a:t>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1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REPORTE CONSOLIDADO CONSUMO VS HORA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'28-MAYO-2026   '!$B$4</c:f>
              <c:strCache>
                <c:ptCount val="1"/>
                <c:pt idx="0">
                  <c:v>Hora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'28-MAYO-2026   '!$E$5:$E$28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40</c:v>
                </c:pt>
                <c:pt idx="6">
                  <c:v>60</c:v>
                </c:pt>
                <c:pt idx="7">
                  <c:v>90</c:v>
                </c:pt>
                <c:pt idx="8">
                  <c:v>120</c:v>
                </c:pt>
                <c:pt idx="9">
                  <c:v>150</c:v>
                </c:pt>
                <c:pt idx="10">
                  <c:v>180</c:v>
                </c:pt>
                <c:pt idx="11">
                  <c:v>210</c:v>
                </c:pt>
                <c:pt idx="12">
                  <c:v>230</c:v>
                </c:pt>
                <c:pt idx="13">
                  <c:v>250</c:v>
                </c:pt>
                <c:pt idx="14">
                  <c:v>270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370</c:v>
                </c:pt>
                <c:pt idx="19">
                  <c:v>390</c:v>
                </c:pt>
                <c:pt idx="20">
                  <c:v>410</c:v>
                </c:pt>
                <c:pt idx="21">
                  <c:v>430</c:v>
                </c:pt>
                <c:pt idx="22">
                  <c:v>430</c:v>
                </c:pt>
                <c:pt idx="23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95-4E1B-A3AD-D5F78E888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952415"/>
        <c:axId val="1898950975"/>
      </c:lineChart>
      <c:catAx>
        <c:axId val="189895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0975"/>
        <c:crosses val="autoZero"/>
        <c:auto val="1"/>
        <c:lblAlgn val="ctr"/>
        <c:lblOffset val="100"/>
        <c:noMultiLvlLbl val="0"/>
      </c:catAx>
      <c:valAx>
        <c:axId val="189895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REPORTE CONSUMO</a:t>
            </a:r>
            <a:r>
              <a:rPr lang="es-CO" baseline="0"/>
              <a:t> VS HORA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CONSOLIDADO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'29-MAYO-2026    '!$D$5:$D$28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05-458B-A8C9-94C23AF43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719775"/>
        <c:axId val="1210720255"/>
      </c:lineChart>
      <c:catAx>
        <c:axId val="121071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20255"/>
        <c:crosses val="autoZero"/>
        <c:auto val="1"/>
        <c:lblAlgn val="ctr"/>
        <c:lblOffset val="100"/>
        <c:noMultiLvlLbl val="0"/>
      </c:catAx>
      <c:valAx>
        <c:axId val="121072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</a:t>
                </a:r>
                <a:r>
                  <a:rPr lang="es-CO" baseline="0"/>
                  <a:t>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1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REPORTE CONSOLIDADO CONSUMO VS HORA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'29-MAYO-2026    '!$B$4</c:f>
              <c:strCache>
                <c:ptCount val="1"/>
                <c:pt idx="0">
                  <c:v>Hora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'29-MAYO-2026    '!$E$5:$E$28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40</c:v>
                </c:pt>
                <c:pt idx="5">
                  <c:v>60</c:v>
                </c:pt>
                <c:pt idx="6">
                  <c:v>80</c:v>
                </c:pt>
                <c:pt idx="7">
                  <c:v>100</c:v>
                </c:pt>
                <c:pt idx="8">
                  <c:v>120</c:v>
                </c:pt>
                <c:pt idx="9">
                  <c:v>140</c:v>
                </c:pt>
                <c:pt idx="10">
                  <c:v>160</c:v>
                </c:pt>
                <c:pt idx="11">
                  <c:v>180</c:v>
                </c:pt>
                <c:pt idx="12">
                  <c:v>200</c:v>
                </c:pt>
                <c:pt idx="13">
                  <c:v>220</c:v>
                </c:pt>
                <c:pt idx="14">
                  <c:v>240</c:v>
                </c:pt>
                <c:pt idx="15">
                  <c:v>260</c:v>
                </c:pt>
                <c:pt idx="16">
                  <c:v>280</c:v>
                </c:pt>
                <c:pt idx="17">
                  <c:v>300</c:v>
                </c:pt>
                <c:pt idx="18">
                  <c:v>320</c:v>
                </c:pt>
                <c:pt idx="19">
                  <c:v>340</c:v>
                </c:pt>
                <c:pt idx="20">
                  <c:v>360</c:v>
                </c:pt>
                <c:pt idx="21">
                  <c:v>380</c:v>
                </c:pt>
                <c:pt idx="22">
                  <c:v>380</c:v>
                </c:pt>
                <c:pt idx="23">
                  <c:v>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76-4086-BFB6-BC2F0BF0B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952415"/>
        <c:axId val="1898950975"/>
      </c:lineChart>
      <c:catAx>
        <c:axId val="189895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0975"/>
        <c:crosses val="autoZero"/>
        <c:auto val="1"/>
        <c:lblAlgn val="ctr"/>
        <c:lblOffset val="100"/>
        <c:noMultiLvlLbl val="0"/>
      </c:catAx>
      <c:valAx>
        <c:axId val="189895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REPORTE CONSUMO</a:t>
            </a:r>
            <a:r>
              <a:rPr lang="es-CO" baseline="0"/>
              <a:t> VS HORA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CONSOLIDADO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'30-MAYO-2026   '!$D$5:$D$28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30</c:v>
                </c:pt>
                <c:pt idx="10">
                  <c:v>30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30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2D-4E81-B2C8-DB5409EF3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719775"/>
        <c:axId val="1210720255"/>
      </c:lineChart>
      <c:catAx>
        <c:axId val="121071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20255"/>
        <c:crosses val="autoZero"/>
        <c:auto val="1"/>
        <c:lblAlgn val="ctr"/>
        <c:lblOffset val="100"/>
        <c:noMultiLvlLbl val="0"/>
      </c:catAx>
      <c:valAx>
        <c:axId val="121072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</a:t>
                </a:r>
                <a:r>
                  <a:rPr lang="es-CO" baseline="0"/>
                  <a:t>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1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REPORTE CONSOLIDADO CONSUMO VS HORA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'30-MAYO-2026   '!$B$4</c:f>
              <c:strCache>
                <c:ptCount val="1"/>
                <c:pt idx="0">
                  <c:v>Hora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'30-MAYO-2026   '!$E$5:$E$28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40</c:v>
                </c:pt>
                <c:pt idx="6">
                  <c:v>60</c:v>
                </c:pt>
                <c:pt idx="7">
                  <c:v>80</c:v>
                </c:pt>
                <c:pt idx="8">
                  <c:v>100</c:v>
                </c:pt>
                <c:pt idx="9">
                  <c:v>130</c:v>
                </c:pt>
                <c:pt idx="10">
                  <c:v>160</c:v>
                </c:pt>
                <c:pt idx="11">
                  <c:v>200</c:v>
                </c:pt>
                <c:pt idx="12">
                  <c:v>240</c:v>
                </c:pt>
                <c:pt idx="13">
                  <c:v>280</c:v>
                </c:pt>
                <c:pt idx="14">
                  <c:v>310</c:v>
                </c:pt>
                <c:pt idx="15">
                  <c:v>330</c:v>
                </c:pt>
                <c:pt idx="16">
                  <c:v>350</c:v>
                </c:pt>
                <c:pt idx="17">
                  <c:v>370</c:v>
                </c:pt>
                <c:pt idx="18">
                  <c:v>390</c:v>
                </c:pt>
                <c:pt idx="19">
                  <c:v>410</c:v>
                </c:pt>
                <c:pt idx="20">
                  <c:v>430</c:v>
                </c:pt>
                <c:pt idx="21">
                  <c:v>450</c:v>
                </c:pt>
                <c:pt idx="22">
                  <c:v>450</c:v>
                </c:pt>
                <c:pt idx="23">
                  <c:v>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46-426A-A26C-C49DA29AC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952415"/>
        <c:axId val="1898950975"/>
      </c:lineChart>
      <c:catAx>
        <c:axId val="189895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0975"/>
        <c:crosses val="autoZero"/>
        <c:auto val="1"/>
        <c:lblAlgn val="ctr"/>
        <c:lblOffset val="100"/>
        <c:noMultiLvlLbl val="0"/>
      </c:catAx>
      <c:valAx>
        <c:axId val="189895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REPORTE CONSUMO</a:t>
            </a:r>
            <a:r>
              <a:rPr lang="es-CO" baseline="0"/>
              <a:t> VS HORA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CONSOLIDADO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'31-MAYO-2026  '!$D$5:$D$28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30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7E-4FCF-9B21-01DA6EB49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719775"/>
        <c:axId val="1210720255"/>
      </c:lineChart>
      <c:catAx>
        <c:axId val="121071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20255"/>
        <c:crosses val="autoZero"/>
        <c:auto val="1"/>
        <c:lblAlgn val="ctr"/>
        <c:lblOffset val="100"/>
        <c:noMultiLvlLbl val="0"/>
      </c:catAx>
      <c:valAx>
        <c:axId val="121072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</a:t>
                </a:r>
                <a:r>
                  <a:rPr lang="es-CO" baseline="0"/>
                  <a:t>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1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REPORTE CONSOLIDADO CONSUMO VS HORA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'31-MAYO-2026  '!$B$4</c:f>
              <c:strCache>
                <c:ptCount val="1"/>
                <c:pt idx="0">
                  <c:v>Hora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'31-MAYO-2026  '!$E$5:$E$28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40</c:v>
                </c:pt>
                <c:pt idx="6">
                  <c:v>60</c:v>
                </c:pt>
                <c:pt idx="7">
                  <c:v>80</c:v>
                </c:pt>
                <c:pt idx="8">
                  <c:v>110</c:v>
                </c:pt>
                <c:pt idx="9">
                  <c:v>150</c:v>
                </c:pt>
                <c:pt idx="10">
                  <c:v>190</c:v>
                </c:pt>
                <c:pt idx="11">
                  <c:v>230</c:v>
                </c:pt>
                <c:pt idx="12">
                  <c:v>270</c:v>
                </c:pt>
                <c:pt idx="13">
                  <c:v>310</c:v>
                </c:pt>
                <c:pt idx="14">
                  <c:v>350</c:v>
                </c:pt>
                <c:pt idx="15">
                  <c:v>370</c:v>
                </c:pt>
                <c:pt idx="16">
                  <c:v>390</c:v>
                </c:pt>
                <c:pt idx="17">
                  <c:v>410</c:v>
                </c:pt>
                <c:pt idx="18">
                  <c:v>430</c:v>
                </c:pt>
                <c:pt idx="19">
                  <c:v>450</c:v>
                </c:pt>
                <c:pt idx="20">
                  <c:v>470</c:v>
                </c:pt>
                <c:pt idx="21">
                  <c:v>490</c:v>
                </c:pt>
                <c:pt idx="22">
                  <c:v>490</c:v>
                </c:pt>
                <c:pt idx="23">
                  <c:v>490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B4-4538-A6A8-9EB964CF6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952415"/>
        <c:axId val="1898950975"/>
      </c:lineChart>
      <c:catAx>
        <c:axId val="189895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0975"/>
        <c:crosses val="autoZero"/>
        <c:auto val="1"/>
        <c:lblAlgn val="ctr"/>
        <c:lblOffset val="100"/>
        <c:noMultiLvlLbl val="0"/>
      </c:catAx>
      <c:valAx>
        <c:axId val="189895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REPORTE CONSUMO</a:t>
            </a:r>
            <a:r>
              <a:rPr lang="es-CO" baseline="0"/>
              <a:t> VS HORA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CONSOLIDADO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'01-JUNIIO-2026  '!$D$5:$D$28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20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BF-4825-BB4C-8F6B0C866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719775"/>
        <c:axId val="1210720255"/>
      </c:lineChart>
      <c:catAx>
        <c:axId val="121071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20255"/>
        <c:crosses val="autoZero"/>
        <c:auto val="1"/>
        <c:lblAlgn val="ctr"/>
        <c:lblOffset val="100"/>
        <c:noMultiLvlLbl val="0"/>
      </c:catAx>
      <c:valAx>
        <c:axId val="121072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</a:t>
                </a:r>
                <a:r>
                  <a:rPr lang="es-CO" baseline="0"/>
                  <a:t>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1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REPORTE CONSOLIDADO CONSUMO VS HORA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'01-JUNIIO-2026  '!$B$4</c:f>
              <c:strCache>
                <c:ptCount val="1"/>
                <c:pt idx="0">
                  <c:v>Hora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'01-JUNIIO-2026  '!$E$5:$E$28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</c:v>
                </c:pt>
                <c:pt idx="5">
                  <c:v>60</c:v>
                </c:pt>
                <c:pt idx="6">
                  <c:v>90</c:v>
                </c:pt>
                <c:pt idx="7">
                  <c:v>120</c:v>
                </c:pt>
                <c:pt idx="8">
                  <c:v>150</c:v>
                </c:pt>
                <c:pt idx="9">
                  <c:v>180</c:v>
                </c:pt>
                <c:pt idx="10">
                  <c:v>210</c:v>
                </c:pt>
                <c:pt idx="11">
                  <c:v>240</c:v>
                </c:pt>
                <c:pt idx="12">
                  <c:v>270</c:v>
                </c:pt>
                <c:pt idx="13">
                  <c:v>300</c:v>
                </c:pt>
                <c:pt idx="14">
                  <c:v>330</c:v>
                </c:pt>
                <c:pt idx="15">
                  <c:v>360</c:v>
                </c:pt>
                <c:pt idx="16">
                  <c:v>390</c:v>
                </c:pt>
                <c:pt idx="17">
                  <c:v>420</c:v>
                </c:pt>
                <c:pt idx="18">
                  <c:v>450</c:v>
                </c:pt>
                <c:pt idx="19">
                  <c:v>480</c:v>
                </c:pt>
                <c:pt idx="20">
                  <c:v>510</c:v>
                </c:pt>
                <c:pt idx="21">
                  <c:v>530</c:v>
                </c:pt>
                <c:pt idx="22">
                  <c:v>530</c:v>
                </c:pt>
                <c:pt idx="23">
                  <c:v>530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41-4E2A-B74E-3A962B462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952415"/>
        <c:axId val="1898950975"/>
      </c:lineChart>
      <c:catAx>
        <c:axId val="189895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0975"/>
        <c:crosses val="autoZero"/>
        <c:auto val="1"/>
        <c:lblAlgn val="ctr"/>
        <c:lblOffset val="100"/>
        <c:noMultiLvlLbl val="0"/>
      </c:catAx>
      <c:valAx>
        <c:axId val="189895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REPORTE CONSUMO</a:t>
            </a:r>
            <a:r>
              <a:rPr lang="es-CO" baseline="0"/>
              <a:t> VS HORA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CONSOLIDADO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'02-JUNIIO-2026   '!$D$5:$D$28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20</c:v>
                </c:pt>
                <c:pt idx="8">
                  <c:v>20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36-4CEA-AA4A-2B226AF6B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719775"/>
        <c:axId val="1210720255"/>
      </c:lineChart>
      <c:catAx>
        <c:axId val="121071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20255"/>
        <c:crosses val="autoZero"/>
        <c:auto val="1"/>
        <c:lblAlgn val="ctr"/>
        <c:lblOffset val="100"/>
        <c:noMultiLvlLbl val="0"/>
      </c:catAx>
      <c:valAx>
        <c:axId val="121072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</a:t>
                </a:r>
                <a:r>
                  <a:rPr lang="es-CO" baseline="0"/>
                  <a:t>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1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REPORTE CONSOLIDADO CONSUMO VS HORA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'02-JUNIIO-2026   '!$B$4</c:f>
              <c:strCache>
                <c:ptCount val="1"/>
                <c:pt idx="0">
                  <c:v>Hora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'02-JUNIIO-2026   '!$E$5:$E$28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</c:v>
                </c:pt>
                <c:pt idx="5">
                  <c:v>60</c:v>
                </c:pt>
                <c:pt idx="6">
                  <c:v>90</c:v>
                </c:pt>
                <c:pt idx="7">
                  <c:v>110</c:v>
                </c:pt>
                <c:pt idx="8">
                  <c:v>130</c:v>
                </c:pt>
                <c:pt idx="9">
                  <c:v>160</c:v>
                </c:pt>
                <c:pt idx="10">
                  <c:v>190</c:v>
                </c:pt>
                <c:pt idx="11">
                  <c:v>220</c:v>
                </c:pt>
                <c:pt idx="12">
                  <c:v>250</c:v>
                </c:pt>
                <c:pt idx="13">
                  <c:v>270</c:v>
                </c:pt>
                <c:pt idx="14">
                  <c:v>290</c:v>
                </c:pt>
                <c:pt idx="15">
                  <c:v>310</c:v>
                </c:pt>
                <c:pt idx="16">
                  <c:v>330</c:v>
                </c:pt>
                <c:pt idx="17">
                  <c:v>350</c:v>
                </c:pt>
                <c:pt idx="18">
                  <c:v>370</c:v>
                </c:pt>
                <c:pt idx="19">
                  <c:v>390</c:v>
                </c:pt>
                <c:pt idx="20">
                  <c:v>410</c:v>
                </c:pt>
                <c:pt idx="21">
                  <c:v>430</c:v>
                </c:pt>
                <c:pt idx="22">
                  <c:v>430</c:v>
                </c:pt>
                <c:pt idx="23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C1-4894-B2DB-1327BC033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952415"/>
        <c:axId val="1898950975"/>
      </c:lineChart>
      <c:catAx>
        <c:axId val="189895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0975"/>
        <c:crosses val="autoZero"/>
        <c:auto val="1"/>
        <c:lblAlgn val="ctr"/>
        <c:lblOffset val="100"/>
        <c:noMultiLvlLbl val="0"/>
      </c:catAx>
      <c:valAx>
        <c:axId val="189895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REPORTE CONSUMO</a:t>
            </a:r>
            <a:r>
              <a:rPr lang="es-CO" baseline="0"/>
              <a:t> VS HORA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CONSOLIDADO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'03-JUNIIO-2026   '!$D$5:$D$28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20</c:v>
                </c:pt>
                <c:pt idx="9">
                  <c:v>20</c:v>
                </c:pt>
                <c:pt idx="10">
                  <c:v>30</c:v>
                </c:pt>
                <c:pt idx="11">
                  <c:v>30</c:v>
                </c:pt>
                <c:pt idx="12">
                  <c:v>20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20</c:v>
                </c:pt>
                <c:pt idx="17">
                  <c:v>20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E9-4E5C-AC1B-E00839D38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719775"/>
        <c:axId val="1210720255"/>
      </c:lineChart>
      <c:catAx>
        <c:axId val="121071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20255"/>
        <c:crosses val="autoZero"/>
        <c:auto val="1"/>
        <c:lblAlgn val="ctr"/>
        <c:lblOffset val="100"/>
        <c:noMultiLvlLbl val="0"/>
      </c:catAx>
      <c:valAx>
        <c:axId val="121072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</a:t>
                </a:r>
                <a:r>
                  <a:rPr lang="es-CO" baseline="0"/>
                  <a:t>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71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REPORTE CONSOLIDADO CONSUMO VS HORA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'03-JUNIIO-2026   '!$B$4</c:f>
              <c:strCache>
                <c:ptCount val="1"/>
                <c:pt idx="0">
                  <c:v>Hora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'03-JUNIIO-2026   '!$E$5:$E$28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</c:v>
                </c:pt>
                <c:pt idx="5">
                  <c:v>60</c:v>
                </c:pt>
                <c:pt idx="6">
                  <c:v>90</c:v>
                </c:pt>
                <c:pt idx="7">
                  <c:v>120</c:v>
                </c:pt>
                <c:pt idx="8">
                  <c:v>140</c:v>
                </c:pt>
                <c:pt idx="9">
                  <c:v>160</c:v>
                </c:pt>
                <c:pt idx="10">
                  <c:v>190</c:v>
                </c:pt>
                <c:pt idx="11">
                  <c:v>220</c:v>
                </c:pt>
                <c:pt idx="12">
                  <c:v>240</c:v>
                </c:pt>
                <c:pt idx="13">
                  <c:v>270</c:v>
                </c:pt>
                <c:pt idx="14">
                  <c:v>300</c:v>
                </c:pt>
                <c:pt idx="15">
                  <c:v>330</c:v>
                </c:pt>
                <c:pt idx="16">
                  <c:v>350</c:v>
                </c:pt>
                <c:pt idx="17">
                  <c:v>370</c:v>
                </c:pt>
                <c:pt idx="18">
                  <c:v>370</c:v>
                </c:pt>
                <c:pt idx="19">
                  <c:v>370</c:v>
                </c:pt>
                <c:pt idx="20">
                  <c:v>370</c:v>
                </c:pt>
                <c:pt idx="21">
                  <c:v>370</c:v>
                </c:pt>
                <c:pt idx="22">
                  <c:v>370</c:v>
                </c:pt>
                <c:pt idx="23">
                  <c:v>370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64-43AA-A9FA-BB5ED6E8A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952415"/>
        <c:axId val="1898950975"/>
      </c:lineChart>
      <c:catAx>
        <c:axId val="189895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0975"/>
        <c:crosses val="autoZero"/>
        <c:auto val="1"/>
        <c:lblAlgn val="ctr"/>
        <c:lblOffset val="100"/>
        <c:noMultiLvlLbl val="0"/>
      </c:catAx>
      <c:valAx>
        <c:axId val="189895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895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4.xml"/><Relationship Id="rId1" Type="http://schemas.openxmlformats.org/officeDocument/2006/relationships/chart" Target="../charts/chart63.xml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6.xml"/><Relationship Id="rId1" Type="http://schemas.openxmlformats.org/officeDocument/2006/relationships/chart" Target="../charts/chart65.xml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8.xml"/><Relationship Id="rId1" Type="http://schemas.openxmlformats.org/officeDocument/2006/relationships/chart" Target="../charts/chart67.xml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0.xml"/><Relationship Id="rId1" Type="http://schemas.openxmlformats.org/officeDocument/2006/relationships/chart" Target="../charts/chart69.xml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2.xml"/><Relationship Id="rId1" Type="http://schemas.openxmlformats.org/officeDocument/2006/relationships/chart" Target="../charts/chart71.xml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4.xml"/><Relationship Id="rId1" Type="http://schemas.openxmlformats.org/officeDocument/2006/relationships/chart" Target="../charts/chart73.xml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6.xml"/><Relationship Id="rId1" Type="http://schemas.openxmlformats.org/officeDocument/2006/relationships/chart" Target="../charts/chart7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150817</xdr:colOff>
      <xdr:row>2</xdr:row>
      <xdr:rowOff>47626</xdr:rowOff>
    </xdr:from>
    <xdr:to>
      <xdr:col>11</xdr:col>
      <xdr:colOff>674687</xdr:colOff>
      <xdr:row>18</xdr:row>
      <xdr:rowOff>39689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5DB45D0-F895-4B3C-A37B-8375A8475E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142875</xdr:colOff>
      <xdr:row>18</xdr:row>
      <xdr:rowOff>103188</xdr:rowOff>
    </xdr:from>
    <xdr:to>
      <xdr:col>11</xdr:col>
      <xdr:colOff>666750</xdr:colOff>
      <xdr:row>41</xdr:row>
      <xdr:rowOff>47626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5AD63CA-AC91-4E5C-A7F2-2F0D33FD31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95254</xdr:colOff>
      <xdr:row>2</xdr:row>
      <xdr:rowOff>4</xdr:rowOff>
    </xdr:from>
    <xdr:to>
      <xdr:col>11</xdr:col>
      <xdr:colOff>261937</xdr:colOff>
      <xdr:row>17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9B6DC0E-5478-4BF6-8DF0-6BD8CEE377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111124</xdr:colOff>
      <xdr:row>17</xdr:row>
      <xdr:rowOff>87316</xdr:rowOff>
    </xdr:from>
    <xdr:to>
      <xdr:col>11</xdr:col>
      <xdr:colOff>277811</xdr:colOff>
      <xdr:row>41</xdr:row>
      <xdr:rowOff>142875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7841074-E26A-41A1-8301-57F668BF0F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150815</xdr:colOff>
      <xdr:row>2</xdr:row>
      <xdr:rowOff>15875</xdr:rowOff>
    </xdr:from>
    <xdr:to>
      <xdr:col>11</xdr:col>
      <xdr:colOff>515937</xdr:colOff>
      <xdr:row>18</xdr:row>
      <xdr:rowOff>39688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33EE6B6-4DFC-44C6-A6CE-B8FFA258F3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150813</xdr:colOff>
      <xdr:row>18</xdr:row>
      <xdr:rowOff>87314</xdr:rowOff>
    </xdr:from>
    <xdr:to>
      <xdr:col>11</xdr:col>
      <xdr:colOff>500062</xdr:colOff>
      <xdr:row>43</xdr:row>
      <xdr:rowOff>119064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DBCFA76-ABCF-427C-ACF1-443482BAB2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150815</xdr:colOff>
      <xdr:row>2</xdr:row>
      <xdr:rowOff>15875</xdr:rowOff>
    </xdr:from>
    <xdr:to>
      <xdr:col>11</xdr:col>
      <xdr:colOff>515937</xdr:colOff>
      <xdr:row>18</xdr:row>
      <xdr:rowOff>39688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66D754E-AE08-4218-BB52-911A1F80F1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150813</xdr:colOff>
      <xdr:row>18</xdr:row>
      <xdr:rowOff>87314</xdr:rowOff>
    </xdr:from>
    <xdr:to>
      <xdr:col>11</xdr:col>
      <xdr:colOff>500062</xdr:colOff>
      <xdr:row>43</xdr:row>
      <xdr:rowOff>119064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5C46E85-68B4-4EBE-92B7-FB057D5C07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150815</xdr:colOff>
      <xdr:row>2</xdr:row>
      <xdr:rowOff>15875</xdr:rowOff>
    </xdr:from>
    <xdr:to>
      <xdr:col>11</xdr:col>
      <xdr:colOff>515937</xdr:colOff>
      <xdr:row>18</xdr:row>
      <xdr:rowOff>39688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AAF087C-EB98-4C52-A902-D41C7828C0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150813</xdr:colOff>
      <xdr:row>18</xdr:row>
      <xdr:rowOff>87314</xdr:rowOff>
    </xdr:from>
    <xdr:to>
      <xdr:col>11</xdr:col>
      <xdr:colOff>500062</xdr:colOff>
      <xdr:row>43</xdr:row>
      <xdr:rowOff>119064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FE6EB8A-CB34-4F73-9CF7-EB409094BD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150815</xdr:colOff>
      <xdr:row>2</xdr:row>
      <xdr:rowOff>15875</xdr:rowOff>
    </xdr:from>
    <xdr:to>
      <xdr:col>11</xdr:col>
      <xdr:colOff>515937</xdr:colOff>
      <xdr:row>18</xdr:row>
      <xdr:rowOff>39688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508AC13-5C2B-4752-8D1D-18D7E4436A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150813</xdr:colOff>
      <xdr:row>18</xdr:row>
      <xdr:rowOff>87314</xdr:rowOff>
    </xdr:from>
    <xdr:to>
      <xdr:col>11</xdr:col>
      <xdr:colOff>500062</xdr:colOff>
      <xdr:row>43</xdr:row>
      <xdr:rowOff>119064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0326DC8-F6ED-4DED-8E75-29E3B7583E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150815</xdr:colOff>
      <xdr:row>2</xdr:row>
      <xdr:rowOff>15875</xdr:rowOff>
    </xdr:from>
    <xdr:to>
      <xdr:col>11</xdr:col>
      <xdr:colOff>515937</xdr:colOff>
      <xdr:row>18</xdr:row>
      <xdr:rowOff>39688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2ADC042-306E-4A7C-8AC8-8B2666FD4B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150813</xdr:colOff>
      <xdr:row>18</xdr:row>
      <xdr:rowOff>87314</xdr:rowOff>
    </xdr:from>
    <xdr:to>
      <xdr:col>11</xdr:col>
      <xdr:colOff>500062</xdr:colOff>
      <xdr:row>43</xdr:row>
      <xdr:rowOff>119064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A2CF0BE-FC8B-4947-BCBA-EC6C6DC9DB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150815</xdr:colOff>
      <xdr:row>2</xdr:row>
      <xdr:rowOff>15875</xdr:rowOff>
    </xdr:from>
    <xdr:to>
      <xdr:col>11</xdr:col>
      <xdr:colOff>515937</xdr:colOff>
      <xdr:row>18</xdr:row>
      <xdr:rowOff>39688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7CEADB-3A43-49E2-9EFD-325FE9035B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150813</xdr:colOff>
      <xdr:row>18</xdr:row>
      <xdr:rowOff>87314</xdr:rowOff>
    </xdr:from>
    <xdr:to>
      <xdr:col>11</xdr:col>
      <xdr:colOff>500062</xdr:colOff>
      <xdr:row>43</xdr:row>
      <xdr:rowOff>119064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2B15A2D-53F9-4E5D-A7F4-9B4A7F2DF2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150815</xdr:colOff>
      <xdr:row>2</xdr:row>
      <xdr:rowOff>15875</xdr:rowOff>
    </xdr:from>
    <xdr:to>
      <xdr:col>11</xdr:col>
      <xdr:colOff>515937</xdr:colOff>
      <xdr:row>18</xdr:row>
      <xdr:rowOff>39688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0406923-BE59-43B4-B9C3-9BA2BD89C0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150813</xdr:colOff>
      <xdr:row>18</xdr:row>
      <xdr:rowOff>87314</xdr:rowOff>
    </xdr:from>
    <xdr:to>
      <xdr:col>11</xdr:col>
      <xdr:colOff>500062</xdr:colOff>
      <xdr:row>43</xdr:row>
      <xdr:rowOff>119064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62C317C-EF17-4344-BA14-0425AE6DBB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150815</xdr:colOff>
      <xdr:row>2</xdr:row>
      <xdr:rowOff>15875</xdr:rowOff>
    </xdr:from>
    <xdr:to>
      <xdr:col>11</xdr:col>
      <xdr:colOff>515937</xdr:colOff>
      <xdr:row>18</xdr:row>
      <xdr:rowOff>39688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6A056C6-6683-4E34-A9C0-A54BE52372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150813</xdr:colOff>
      <xdr:row>18</xdr:row>
      <xdr:rowOff>87314</xdr:rowOff>
    </xdr:from>
    <xdr:to>
      <xdr:col>11</xdr:col>
      <xdr:colOff>500062</xdr:colOff>
      <xdr:row>43</xdr:row>
      <xdr:rowOff>119064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CCC42A9-AD79-4081-9214-97C490FB40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150815</xdr:colOff>
      <xdr:row>2</xdr:row>
      <xdr:rowOff>15875</xdr:rowOff>
    </xdr:from>
    <xdr:to>
      <xdr:col>11</xdr:col>
      <xdr:colOff>515937</xdr:colOff>
      <xdr:row>18</xdr:row>
      <xdr:rowOff>39688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D6342ED-F35A-45E1-AB3D-FD4EEB7C05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150813</xdr:colOff>
      <xdr:row>18</xdr:row>
      <xdr:rowOff>87314</xdr:rowOff>
    </xdr:from>
    <xdr:to>
      <xdr:col>11</xdr:col>
      <xdr:colOff>500062</xdr:colOff>
      <xdr:row>43</xdr:row>
      <xdr:rowOff>119064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235B2C9-F22D-4DE1-A5E5-6DFE2ADCA4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150815</xdr:colOff>
      <xdr:row>2</xdr:row>
      <xdr:rowOff>15875</xdr:rowOff>
    </xdr:from>
    <xdr:to>
      <xdr:col>11</xdr:col>
      <xdr:colOff>515937</xdr:colOff>
      <xdr:row>18</xdr:row>
      <xdr:rowOff>39688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036B2CA-2AF7-41D8-9D67-E6AC5C304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150813</xdr:colOff>
      <xdr:row>18</xdr:row>
      <xdr:rowOff>87314</xdr:rowOff>
    </xdr:from>
    <xdr:to>
      <xdr:col>11</xdr:col>
      <xdr:colOff>500062</xdr:colOff>
      <xdr:row>43</xdr:row>
      <xdr:rowOff>119064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ABA4E0E-D54C-4C79-8F53-0994087255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150815</xdr:colOff>
      <xdr:row>2</xdr:row>
      <xdr:rowOff>15875</xdr:rowOff>
    </xdr:from>
    <xdr:to>
      <xdr:col>11</xdr:col>
      <xdr:colOff>515937</xdr:colOff>
      <xdr:row>18</xdr:row>
      <xdr:rowOff>39688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619A81C-D588-4763-9E00-50D64C8AE7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150813</xdr:colOff>
      <xdr:row>18</xdr:row>
      <xdr:rowOff>87314</xdr:rowOff>
    </xdr:from>
    <xdr:to>
      <xdr:col>11</xdr:col>
      <xdr:colOff>500062</xdr:colOff>
      <xdr:row>43</xdr:row>
      <xdr:rowOff>119064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48C77A7-F72C-44F4-B5CE-CE12271775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150815</xdr:colOff>
      <xdr:row>2</xdr:row>
      <xdr:rowOff>15875</xdr:rowOff>
    </xdr:from>
    <xdr:to>
      <xdr:col>11</xdr:col>
      <xdr:colOff>515937</xdr:colOff>
      <xdr:row>18</xdr:row>
      <xdr:rowOff>39688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859BED7-444B-4F32-B9B4-64795B7718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150813</xdr:colOff>
      <xdr:row>18</xdr:row>
      <xdr:rowOff>87314</xdr:rowOff>
    </xdr:from>
    <xdr:to>
      <xdr:col>11</xdr:col>
      <xdr:colOff>500062</xdr:colOff>
      <xdr:row>43</xdr:row>
      <xdr:rowOff>119064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3AB40D-2334-4CF7-A3AE-3BCDE8BF82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150815</xdr:colOff>
      <xdr:row>2</xdr:row>
      <xdr:rowOff>15875</xdr:rowOff>
    </xdr:from>
    <xdr:to>
      <xdr:col>11</xdr:col>
      <xdr:colOff>515937</xdr:colOff>
      <xdr:row>18</xdr:row>
      <xdr:rowOff>39688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47C6409-4EA1-4E87-9DAD-882A74D990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150813</xdr:colOff>
      <xdr:row>18</xdr:row>
      <xdr:rowOff>87314</xdr:rowOff>
    </xdr:from>
    <xdr:to>
      <xdr:col>11</xdr:col>
      <xdr:colOff>500062</xdr:colOff>
      <xdr:row>43</xdr:row>
      <xdr:rowOff>119064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3038477-ABD9-490D-80B9-4EB3376FB4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150815</xdr:colOff>
      <xdr:row>2</xdr:row>
      <xdr:rowOff>15875</xdr:rowOff>
    </xdr:from>
    <xdr:to>
      <xdr:col>11</xdr:col>
      <xdr:colOff>515937</xdr:colOff>
      <xdr:row>18</xdr:row>
      <xdr:rowOff>39688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FED8CAF-7C43-414A-B8B1-BABBAC2A5D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150813</xdr:colOff>
      <xdr:row>18</xdr:row>
      <xdr:rowOff>87314</xdr:rowOff>
    </xdr:from>
    <xdr:to>
      <xdr:col>11</xdr:col>
      <xdr:colOff>500062</xdr:colOff>
      <xdr:row>43</xdr:row>
      <xdr:rowOff>119064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81F35EE-0BE4-46DC-9128-41EC9FE149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150815</xdr:colOff>
      <xdr:row>2</xdr:row>
      <xdr:rowOff>15875</xdr:rowOff>
    </xdr:from>
    <xdr:to>
      <xdr:col>11</xdr:col>
      <xdr:colOff>515937</xdr:colOff>
      <xdr:row>18</xdr:row>
      <xdr:rowOff>39688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4EACAA3-A388-4966-AAAF-E3DCD57B5B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150813</xdr:colOff>
      <xdr:row>18</xdr:row>
      <xdr:rowOff>87314</xdr:rowOff>
    </xdr:from>
    <xdr:to>
      <xdr:col>11</xdr:col>
      <xdr:colOff>500062</xdr:colOff>
      <xdr:row>43</xdr:row>
      <xdr:rowOff>119064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4F27BDC-B2A5-4725-A5E2-9D22E690AF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150815</xdr:colOff>
      <xdr:row>2</xdr:row>
      <xdr:rowOff>15875</xdr:rowOff>
    </xdr:from>
    <xdr:to>
      <xdr:col>11</xdr:col>
      <xdr:colOff>515937</xdr:colOff>
      <xdr:row>18</xdr:row>
      <xdr:rowOff>39688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6832EC4-15DF-4DA0-BAE1-1868397061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150813</xdr:colOff>
      <xdr:row>18</xdr:row>
      <xdr:rowOff>87314</xdr:rowOff>
    </xdr:from>
    <xdr:to>
      <xdr:col>11</xdr:col>
      <xdr:colOff>500062</xdr:colOff>
      <xdr:row>43</xdr:row>
      <xdr:rowOff>119064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8F79C8D-BBF0-4312-838A-626D8D567A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150815</xdr:colOff>
      <xdr:row>2</xdr:row>
      <xdr:rowOff>15875</xdr:rowOff>
    </xdr:from>
    <xdr:to>
      <xdr:col>11</xdr:col>
      <xdr:colOff>515937</xdr:colOff>
      <xdr:row>18</xdr:row>
      <xdr:rowOff>39688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69133DE-0A87-40FA-BFE5-9A5E8F5300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150813</xdr:colOff>
      <xdr:row>18</xdr:row>
      <xdr:rowOff>87314</xdr:rowOff>
    </xdr:from>
    <xdr:to>
      <xdr:col>11</xdr:col>
      <xdr:colOff>500062</xdr:colOff>
      <xdr:row>43</xdr:row>
      <xdr:rowOff>119064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669503C-6529-469C-A99A-52E25050DE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150815</xdr:colOff>
      <xdr:row>2</xdr:row>
      <xdr:rowOff>15875</xdr:rowOff>
    </xdr:from>
    <xdr:to>
      <xdr:col>11</xdr:col>
      <xdr:colOff>515937</xdr:colOff>
      <xdr:row>18</xdr:row>
      <xdr:rowOff>39688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3104850-9E5B-44C1-B4E6-4B95A031CF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150813</xdr:colOff>
      <xdr:row>18</xdr:row>
      <xdr:rowOff>87314</xdr:rowOff>
    </xdr:from>
    <xdr:to>
      <xdr:col>11</xdr:col>
      <xdr:colOff>500062</xdr:colOff>
      <xdr:row>43</xdr:row>
      <xdr:rowOff>119064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95B4828-2C1F-4E68-A6AC-7612D6E243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150815</xdr:colOff>
      <xdr:row>2</xdr:row>
      <xdr:rowOff>15875</xdr:rowOff>
    </xdr:from>
    <xdr:to>
      <xdr:col>11</xdr:col>
      <xdr:colOff>515937</xdr:colOff>
      <xdr:row>18</xdr:row>
      <xdr:rowOff>39688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05C5CCC-DD23-4339-815F-F72C88ECAF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150813</xdr:colOff>
      <xdr:row>18</xdr:row>
      <xdr:rowOff>87314</xdr:rowOff>
    </xdr:from>
    <xdr:to>
      <xdr:col>11</xdr:col>
      <xdr:colOff>500062</xdr:colOff>
      <xdr:row>43</xdr:row>
      <xdr:rowOff>119064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A19E458-065E-41C1-9CA7-4CFB227830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150815</xdr:colOff>
      <xdr:row>2</xdr:row>
      <xdr:rowOff>15875</xdr:rowOff>
    </xdr:from>
    <xdr:to>
      <xdr:col>11</xdr:col>
      <xdr:colOff>515937</xdr:colOff>
      <xdr:row>18</xdr:row>
      <xdr:rowOff>39688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F34E578-2988-453E-944D-8BA1BE2869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150813</xdr:colOff>
      <xdr:row>18</xdr:row>
      <xdr:rowOff>87314</xdr:rowOff>
    </xdr:from>
    <xdr:to>
      <xdr:col>11</xdr:col>
      <xdr:colOff>500062</xdr:colOff>
      <xdr:row>43</xdr:row>
      <xdr:rowOff>119064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F4EF011-D0F9-4CF3-9DA0-64EA6EE323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150815</xdr:colOff>
      <xdr:row>2</xdr:row>
      <xdr:rowOff>15875</xdr:rowOff>
    </xdr:from>
    <xdr:to>
      <xdr:col>11</xdr:col>
      <xdr:colOff>515937</xdr:colOff>
      <xdr:row>18</xdr:row>
      <xdr:rowOff>39688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5B5D041-D61F-401B-A042-3F5C882373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150813</xdr:colOff>
      <xdr:row>18</xdr:row>
      <xdr:rowOff>87314</xdr:rowOff>
    </xdr:from>
    <xdr:to>
      <xdr:col>11</xdr:col>
      <xdr:colOff>500062</xdr:colOff>
      <xdr:row>43</xdr:row>
      <xdr:rowOff>119064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742B2F1-E5A5-4F41-9C76-A3B7A2C328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150815</xdr:colOff>
      <xdr:row>2</xdr:row>
      <xdr:rowOff>15875</xdr:rowOff>
    </xdr:from>
    <xdr:to>
      <xdr:col>11</xdr:col>
      <xdr:colOff>515937</xdr:colOff>
      <xdr:row>18</xdr:row>
      <xdr:rowOff>39688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4AAC53-F231-45FD-ADB3-23E1E6F7E7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150813</xdr:colOff>
      <xdr:row>18</xdr:row>
      <xdr:rowOff>87314</xdr:rowOff>
    </xdr:from>
    <xdr:to>
      <xdr:col>11</xdr:col>
      <xdr:colOff>500062</xdr:colOff>
      <xdr:row>43</xdr:row>
      <xdr:rowOff>119064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BA446A6-86CA-4C6E-9675-66609D907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150815</xdr:colOff>
      <xdr:row>2</xdr:row>
      <xdr:rowOff>15875</xdr:rowOff>
    </xdr:from>
    <xdr:to>
      <xdr:col>11</xdr:col>
      <xdr:colOff>515937</xdr:colOff>
      <xdr:row>18</xdr:row>
      <xdr:rowOff>39688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247F0FB-CC70-4EF1-8CE3-AD77FCB829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150813</xdr:colOff>
      <xdr:row>18</xdr:row>
      <xdr:rowOff>87314</xdr:rowOff>
    </xdr:from>
    <xdr:to>
      <xdr:col>11</xdr:col>
      <xdr:colOff>500062</xdr:colOff>
      <xdr:row>43</xdr:row>
      <xdr:rowOff>119064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DE88C17-2B5B-40F7-82F2-D9B3DD43EC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150815</xdr:colOff>
      <xdr:row>2</xdr:row>
      <xdr:rowOff>15875</xdr:rowOff>
    </xdr:from>
    <xdr:to>
      <xdr:col>11</xdr:col>
      <xdr:colOff>515937</xdr:colOff>
      <xdr:row>18</xdr:row>
      <xdr:rowOff>39688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B6480B8-D70C-47F3-8E71-01829C1A82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150813</xdr:colOff>
      <xdr:row>18</xdr:row>
      <xdr:rowOff>87314</xdr:rowOff>
    </xdr:from>
    <xdr:to>
      <xdr:col>11</xdr:col>
      <xdr:colOff>500062</xdr:colOff>
      <xdr:row>43</xdr:row>
      <xdr:rowOff>119064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1D096C8-62FB-4A9D-BCE0-676F616DB2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150815</xdr:colOff>
      <xdr:row>2</xdr:row>
      <xdr:rowOff>15875</xdr:rowOff>
    </xdr:from>
    <xdr:to>
      <xdr:col>11</xdr:col>
      <xdr:colOff>515937</xdr:colOff>
      <xdr:row>18</xdr:row>
      <xdr:rowOff>39688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0372E00-E214-465A-8AAB-AA01396D98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150813</xdr:colOff>
      <xdr:row>18</xdr:row>
      <xdr:rowOff>87314</xdr:rowOff>
    </xdr:from>
    <xdr:to>
      <xdr:col>11</xdr:col>
      <xdr:colOff>500062</xdr:colOff>
      <xdr:row>43</xdr:row>
      <xdr:rowOff>119064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FB447B0-5D47-4897-BA56-8FC25E1A1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150815</xdr:colOff>
      <xdr:row>2</xdr:row>
      <xdr:rowOff>15875</xdr:rowOff>
    </xdr:from>
    <xdr:to>
      <xdr:col>11</xdr:col>
      <xdr:colOff>515937</xdr:colOff>
      <xdr:row>18</xdr:row>
      <xdr:rowOff>39688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6A336C2-8830-4927-BE1F-DF8F190B2C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150813</xdr:colOff>
      <xdr:row>18</xdr:row>
      <xdr:rowOff>87314</xdr:rowOff>
    </xdr:from>
    <xdr:to>
      <xdr:col>11</xdr:col>
      <xdr:colOff>500062</xdr:colOff>
      <xdr:row>43</xdr:row>
      <xdr:rowOff>119064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ABCF47E-29DC-47A8-93C9-37BF7A7A7D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150815</xdr:colOff>
      <xdr:row>2</xdr:row>
      <xdr:rowOff>15875</xdr:rowOff>
    </xdr:from>
    <xdr:to>
      <xdr:col>11</xdr:col>
      <xdr:colOff>515937</xdr:colOff>
      <xdr:row>18</xdr:row>
      <xdr:rowOff>39688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8631469-1BFD-4BBA-8159-B8A395E675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150813</xdr:colOff>
      <xdr:row>18</xdr:row>
      <xdr:rowOff>87314</xdr:rowOff>
    </xdr:from>
    <xdr:to>
      <xdr:col>11</xdr:col>
      <xdr:colOff>500062</xdr:colOff>
      <xdr:row>43</xdr:row>
      <xdr:rowOff>119064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594E185-CD87-4F6B-9793-882F6BB00B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150815</xdr:colOff>
      <xdr:row>2</xdr:row>
      <xdr:rowOff>15875</xdr:rowOff>
    </xdr:from>
    <xdr:to>
      <xdr:col>11</xdr:col>
      <xdr:colOff>515937</xdr:colOff>
      <xdr:row>18</xdr:row>
      <xdr:rowOff>39688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F281A30-F8AE-46B6-AC1A-527402AB55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150813</xdr:colOff>
      <xdr:row>18</xdr:row>
      <xdr:rowOff>87314</xdr:rowOff>
    </xdr:from>
    <xdr:to>
      <xdr:col>11</xdr:col>
      <xdr:colOff>500062</xdr:colOff>
      <xdr:row>43</xdr:row>
      <xdr:rowOff>119064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43C7A10-5DB1-4F39-ACB3-13951CFC12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150815</xdr:colOff>
      <xdr:row>2</xdr:row>
      <xdr:rowOff>15875</xdr:rowOff>
    </xdr:from>
    <xdr:to>
      <xdr:col>11</xdr:col>
      <xdr:colOff>515937</xdr:colOff>
      <xdr:row>18</xdr:row>
      <xdr:rowOff>39688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12E863-896E-4074-8185-DB3B3214BA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150813</xdr:colOff>
      <xdr:row>18</xdr:row>
      <xdr:rowOff>87314</xdr:rowOff>
    </xdr:from>
    <xdr:to>
      <xdr:col>11</xdr:col>
      <xdr:colOff>500062</xdr:colOff>
      <xdr:row>43</xdr:row>
      <xdr:rowOff>119064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FCB9C3F-2286-4810-8F77-147271D355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150815</xdr:colOff>
      <xdr:row>2</xdr:row>
      <xdr:rowOff>15875</xdr:rowOff>
    </xdr:from>
    <xdr:to>
      <xdr:col>11</xdr:col>
      <xdr:colOff>515937</xdr:colOff>
      <xdr:row>18</xdr:row>
      <xdr:rowOff>39688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5BB0E32-DDB7-4C65-919C-6C11569933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150813</xdr:colOff>
      <xdr:row>18</xdr:row>
      <xdr:rowOff>87314</xdr:rowOff>
    </xdr:from>
    <xdr:to>
      <xdr:col>11</xdr:col>
      <xdr:colOff>500062</xdr:colOff>
      <xdr:row>43</xdr:row>
      <xdr:rowOff>119064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BD86D0C-12F2-4E56-AB2F-887D4991A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150815</xdr:colOff>
      <xdr:row>2</xdr:row>
      <xdr:rowOff>15875</xdr:rowOff>
    </xdr:from>
    <xdr:to>
      <xdr:col>11</xdr:col>
      <xdr:colOff>515937</xdr:colOff>
      <xdr:row>18</xdr:row>
      <xdr:rowOff>39688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113C6DA-C0AD-46E4-A736-E6FF013229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150813</xdr:colOff>
      <xdr:row>18</xdr:row>
      <xdr:rowOff>87314</xdr:rowOff>
    </xdr:from>
    <xdr:to>
      <xdr:col>11</xdr:col>
      <xdr:colOff>500062</xdr:colOff>
      <xdr:row>43</xdr:row>
      <xdr:rowOff>119064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49BE797-DADF-44A0-8EFD-D486BDB8C2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150815</xdr:colOff>
      <xdr:row>2</xdr:row>
      <xdr:rowOff>15875</xdr:rowOff>
    </xdr:from>
    <xdr:to>
      <xdr:col>11</xdr:col>
      <xdr:colOff>515937</xdr:colOff>
      <xdr:row>18</xdr:row>
      <xdr:rowOff>39688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932B7A2-1407-4099-9612-344F9E1EB0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150813</xdr:colOff>
      <xdr:row>18</xdr:row>
      <xdr:rowOff>87314</xdr:rowOff>
    </xdr:from>
    <xdr:to>
      <xdr:col>11</xdr:col>
      <xdr:colOff>500062</xdr:colOff>
      <xdr:row>43</xdr:row>
      <xdr:rowOff>119064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651C266-FE59-4442-9948-5CEA2D7C3A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150815</xdr:colOff>
      <xdr:row>2</xdr:row>
      <xdr:rowOff>15875</xdr:rowOff>
    </xdr:from>
    <xdr:to>
      <xdr:col>11</xdr:col>
      <xdr:colOff>515937</xdr:colOff>
      <xdr:row>18</xdr:row>
      <xdr:rowOff>39688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E4B572C-B53A-4406-946E-AA3C4C3BB6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150813</xdr:colOff>
      <xdr:row>18</xdr:row>
      <xdr:rowOff>87314</xdr:rowOff>
    </xdr:from>
    <xdr:to>
      <xdr:col>11</xdr:col>
      <xdr:colOff>500062</xdr:colOff>
      <xdr:row>43</xdr:row>
      <xdr:rowOff>119064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87E9613-3708-4313-91FE-C45D4C5CA0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150815</xdr:colOff>
      <xdr:row>2</xdr:row>
      <xdr:rowOff>15875</xdr:rowOff>
    </xdr:from>
    <xdr:to>
      <xdr:col>11</xdr:col>
      <xdr:colOff>515937</xdr:colOff>
      <xdr:row>18</xdr:row>
      <xdr:rowOff>39688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4FFB16-DE68-4D5F-A110-7B9B978CAA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150813</xdr:colOff>
      <xdr:row>18</xdr:row>
      <xdr:rowOff>87314</xdr:rowOff>
    </xdr:from>
    <xdr:to>
      <xdr:col>11</xdr:col>
      <xdr:colOff>500062</xdr:colOff>
      <xdr:row>43</xdr:row>
      <xdr:rowOff>119064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C307B71-FB13-47FB-9F77-B9F30AC789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150815</xdr:colOff>
      <xdr:row>2</xdr:row>
      <xdr:rowOff>15875</xdr:rowOff>
    </xdr:from>
    <xdr:to>
      <xdr:col>11</xdr:col>
      <xdr:colOff>515937</xdr:colOff>
      <xdr:row>18</xdr:row>
      <xdr:rowOff>39688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48B5815-B0D3-4307-AE29-B7559D82CC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150813</xdr:colOff>
      <xdr:row>18</xdr:row>
      <xdr:rowOff>87314</xdr:rowOff>
    </xdr:from>
    <xdr:to>
      <xdr:col>11</xdr:col>
      <xdr:colOff>500062</xdr:colOff>
      <xdr:row>43</xdr:row>
      <xdr:rowOff>119064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D744BF0-D6A5-411E-BA3F-BBC4840018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150815</xdr:colOff>
      <xdr:row>2</xdr:row>
      <xdr:rowOff>15875</xdr:rowOff>
    </xdr:from>
    <xdr:to>
      <xdr:col>11</xdr:col>
      <xdr:colOff>515937</xdr:colOff>
      <xdr:row>18</xdr:row>
      <xdr:rowOff>39688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E9716DB-1DD3-4D9D-8ADF-E1FED3EA56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150813</xdr:colOff>
      <xdr:row>18</xdr:row>
      <xdr:rowOff>87314</xdr:rowOff>
    </xdr:from>
    <xdr:to>
      <xdr:col>11</xdr:col>
      <xdr:colOff>500062</xdr:colOff>
      <xdr:row>43</xdr:row>
      <xdr:rowOff>119064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577E43A-585E-43C7-BBE8-4BF46E939F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9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3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31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32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Relationship Id="rId4" Type="http://schemas.openxmlformats.org/officeDocument/2006/relationships/comments" Target="../comments33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Relationship Id="rId4" Type="http://schemas.openxmlformats.org/officeDocument/2006/relationships/comments" Target="../comments34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5.vml"/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Relationship Id="rId4" Type="http://schemas.openxmlformats.org/officeDocument/2006/relationships/comments" Target="../comments35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6.vml"/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Relationship Id="rId4" Type="http://schemas.openxmlformats.org/officeDocument/2006/relationships/comments" Target="../comments36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7.vml"/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Relationship Id="rId4" Type="http://schemas.openxmlformats.org/officeDocument/2006/relationships/comments" Target="../comments37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8.vml"/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Relationship Id="rId4" Type="http://schemas.openxmlformats.org/officeDocument/2006/relationships/comments" Target="../comments3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706CC-F1E7-45CE-980C-030173D78F09}">
  <sheetPr codeName="Hoja1">
    <tabColor rgb="FFFFFF00"/>
  </sheetPr>
  <dimension ref="A1:E41"/>
  <sheetViews>
    <sheetView zoomScale="120" zoomScaleNormal="120" workbookViewId="0">
      <selection activeCell="D15" sqref="D15"/>
    </sheetView>
  </sheetViews>
  <sheetFormatPr baseColWidth="10" defaultColWidth="11.44140625" defaultRowHeight="13.2" x14ac:dyDescent="0.25"/>
  <cols>
    <col min="1" max="1" width="1.6640625" style="2" customWidth="1"/>
    <col min="2" max="2" width="11.44140625" style="2" customWidth="1"/>
    <col min="3" max="3" width="11.6640625" style="2" customWidth="1"/>
    <col min="4" max="4" width="22" style="2" customWidth="1"/>
    <col min="5" max="5" width="28.5546875" style="2" customWidth="1"/>
    <col min="6" max="16384" width="11.44140625" style="2"/>
  </cols>
  <sheetData>
    <row r="1" spans="1:5" s="1" customFormat="1" ht="12.75" customHeight="1" x14ac:dyDescent="0.3">
      <c r="B1" s="27" t="s">
        <v>12</v>
      </c>
      <c r="C1" s="28"/>
      <c r="D1" s="28"/>
      <c r="E1" s="28"/>
    </row>
    <row r="2" spans="1:5" ht="25.5" customHeight="1" thickBot="1" x14ac:dyDescent="0.3">
      <c r="B2" s="29"/>
      <c r="C2" s="30"/>
      <c r="D2" s="30"/>
      <c r="E2" s="30"/>
    </row>
    <row r="3" spans="1:5" x14ac:dyDescent="0.25">
      <c r="B3" s="11" t="s">
        <v>0</v>
      </c>
      <c r="C3" s="26">
        <v>46139</v>
      </c>
      <c r="D3" s="26"/>
      <c r="E3" s="18"/>
    </row>
    <row r="4" spans="1:5" ht="18" customHeight="1" x14ac:dyDescent="0.25">
      <c r="A4" s="2">
        <v>0</v>
      </c>
      <c r="B4" s="16" t="s">
        <v>1</v>
      </c>
      <c r="C4" s="19" t="s">
        <v>2</v>
      </c>
      <c r="D4" s="19" t="s">
        <v>13</v>
      </c>
      <c r="E4" s="20" t="s">
        <v>11</v>
      </c>
    </row>
    <row r="5" spans="1:5" x14ac:dyDescent="0.25">
      <c r="B5" s="4">
        <v>1</v>
      </c>
      <c r="C5" s="6">
        <v>0</v>
      </c>
      <c r="D5" s="7">
        <v>0</v>
      </c>
      <c r="E5" s="17">
        <f>+D5</f>
        <v>0</v>
      </c>
    </row>
    <row r="6" spans="1:5" ht="11.25" customHeight="1" x14ac:dyDescent="0.25">
      <c r="B6" s="4">
        <v>2</v>
      </c>
      <c r="C6" s="6">
        <v>0</v>
      </c>
      <c r="D6" s="7">
        <f>SUM(C6-C5)*10</f>
        <v>0</v>
      </c>
      <c r="E6" s="17">
        <f t="shared" ref="E6:E28" si="0">+D6+E5</f>
        <v>0</v>
      </c>
    </row>
    <row r="7" spans="1:5" ht="11.25" customHeight="1" x14ac:dyDescent="0.25">
      <c r="B7" s="4">
        <v>3</v>
      </c>
      <c r="C7" s="6">
        <v>0</v>
      </c>
      <c r="D7" s="7">
        <f t="shared" ref="D7:D28" si="1">SUM(C7-C6)*10</f>
        <v>0</v>
      </c>
      <c r="E7" s="17">
        <f t="shared" si="0"/>
        <v>0</v>
      </c>
    </row>
    <row r="8" spans="1:5" ht="12" customHeight="1" x14ac:dyDescent="0.25">
      <c r="B8" s="4">
        <v>4</v>
      </c>
      <c r="C8" s="6">
        <v>0</v>
      </c>
      <c r="D8" s="7">
        <f t="shared" si="1"/>
        <v>0</v>
      </c>
      <c r="E8" s="17">
        <f t="shared" si="0"/>
        <v>0</v>
      </c>
    </row>
    <row r="9" spans="1:5" ht="15" customHeight="1" x14ac:dyDescent="0.25">
      <c r="A9" s="2">
        <v>0</v>
      </c>
      <c r="B9" s="4">
        <v>5</v>
      </c>
      <c r="C9" s="6">
        <v>0</v>
      </c>
      <c r="D9" s="7">
        <f t="shared" si="1"/>
        <v>0</v>
      </c>
      <c r="E9" s="17">
        <f t="shared" si="0"/>
        <v>0</v>
      </c>
    </row>
    <row r="10" spans="1:5" ht="15" customHeight="1" x14ac:dyDescent="0.25">
      <c r="A10" s="2" t="s">
        <v>3</v>
      </c>
      <c r="B10" s="4">
        <v>6</v>
      </c>
      <c r="C10" s="6">
        <v>0</v>
      </c>
      <c r="D10" s="7">
        <f t="shared" si="1"/>
        <v>0</v>
      </c>
      <c r="E10" s="17">
        <f t="shared" si="0"/>
        <v>0</v>
      </c>
    </row>
    <row r="11" spans="1:5" ht="12" customHeight="1" x14ac:dyDescent="0.25">
      <c r="B11" s="4">
        <v>7</v>
      </c>
      <c r="C11" s="6">
        <v>0</v>
      </c>
      <c r="D11" s="7">
        <f t="shared" si="1"/>
        <v>0</v>
      </c>
      <c r="E11" s="17">
        <f t="shared" si="0"/>
        <v>0</v>
      </c>
    </row>
    <row r="12" spans="1:5" ht="15.75" customHeight="1" x14ac:dyDescent="0.25">
      <c r="A12" s="2">
        <v>0</v>
      </c>
      <c r="B12" s="4">
        <v>8</v>
      </c>
      <c r="C12" s="6">
        <v>0</v>
      </c>
      <c r="D12" s="7">
        <f t="shared" si="1"/>
        <v>0</v>
      </c>
      <c r="E12" s="17">
        <f t="shared" si="0"/>
        <v>0</v>
      </c>
    </row>
    <row r="13" spans="1:5" ht="12" customHeight="1" x14ac:dyDescent="0.25">
      <c r="B13" s="4">
        <v>9</v>
      </c>
      <c r="C13" s="6">
        <v>0</v>
      </c>
      <c r="D13" s="7">
        <f t="shared" si="1"/>
        <v>0</v>
      </c>
      <c r="E13" s="17">
        <f t="shared" si="0"/>
        <v>0</v>
      </c>
    </row>
    <row r="14" spans="1:5" ht="14.25" customHeight="1" x14ac:dyDescent="0.25">
      <c r="B14" s="4">
        <v>10</v>
      </c>
      <c r="C14" s="6">
        <v>0</v>
      </c>
      <c r="D14" s="7">
        <f t="shared" si="1"/>
        <v>0</v>
      </c>
      <c r="E14" s="17">
        <f t="shared" si="0"/>
        <v>0</v>
      </c>
    </row>
    <row r="15" spans="1:5" x14ac:dyDescent="0.25">
      <c r="B15" s="4">
        <v>11</v>
      </c>
      <c r="C15" s="6">
        <v>0</v>
      </c>
      <c r="D15" s="7">
        <f t="shared" si="1"/>
        <v>0</v>
      </c>
      <c r="E15" s="17">
        <f t="shared" si="0"/>
        <v>0</v>
      </c>
    </row>
    <row r="16" spans="1:5" x14ac:dyDescent="0.25">
      <c r="A16" s="2">
        <v>0</v>
      </c>
      <c r="B16" s="4">
        <v>12</v>
      </c>
      <c r="C16" s="6">
        <v>0</v>
      </c>
      <c r="D16" s="7">
        <f t="shared" si="1"/>
        <v>0</v>
      </c>
      <c r="E16" s="17">
        <f t="shared" si="0"/>
        <v>0</v>
      </c>
    </row>
    <row r="17" spans="1:5" x14ac:dyDescent="0.25">
      <c r="B17" s="4">
        <v>13</v>
      </c>
      <c r="C17" s="6">
        <v>0</v>
      </c>
      <c r="D17" s="7">
        <f t="shared" si="1"/>
        <v>0</v>
      </c>
      <c r="E17" s="17">
        <f t="shared" si="0"/>
        <v>0</v>
      </c>
    </row>
    <row r="18" spans="1:5" ht="14.25" customHeight="1" x14ac:dyDescent="0.25">
      <c r="A18" s="3" t="s">
        <v>4</v>
      </c>
      <c r="B18" s="4">
        <v>14</v>
      </c>
      <c r="C18" s="6">
        <v>11</v>
      </c>
      <c r="D18" s="7">
        <v>0</v>
      </c>
      <c r="E18" s="17">
        <f t="shared" si="0"/>
        <v>0</v>
      </c>
    </row>
    <row r="19" spans="1:5" x14ac:dyDescent="0.25">
      <c r="B19" s="4">
        <v>15</v>
      </c>
      <c r="C19" s="21">
        <v>14</v>
      </c>
      <c r="D19" s="7">
        <f>SUM(C19-C18)*10</f>
        <v>30</v>
      </c>
      <c r="E19" s="17">
        <f t="shared" si="0"/>
        <v>30</v>
      </c>
    </row>
    <row r="20" spans="1:5" x14ac:dyDescent="0.25">
      <c r="A20" s="2">
        <v>0</v>
      </c>
      <c r="B20" s="4">
        <v>16</v>
      </c>
      <c r="C20" s="21">
        <v>17</v>
      </c>
      <c r="D20" s="7">
        <f t="shared" si="1"/>
        <v>30</v>
      </c>
      <c r="E20" s="17">
        <f t="shared" si="0"/>
        <v>60</v>
      </c>
    </row>
    <row r="21" spans="1:5" x14ac:dyDescent="0.25">
      <c r="B21" s="4">
        <v>17</v>
      </c>
      <c r="C21" s="5">
        <v>20</v>
      </c>
      <c r="D21" s="7">
        <f t="shared" si="1"/>
        <v>30</v>
      </c>
      <c r="E21" s="17">
        <f t="shared" si="0"/>
        <v>90</v>
      </c>
    </row>
    <row r="22" spans="1:5" x14ac:dyDescent="0.25">
      <c r="B22" s="4">
        <v>18</v>
      </c>
      <c r="C22" s="6">
        <v>23</v>
      </c>
      <c r="D22" s="7">
        <f t="shared" si="1"/>
        <v>30</v>
      </c>
      <c r="E22" s="17">
        <f t="shared" si="0"/>
        <v>120</v>
      </c>
    </row>
    <row r="23" spans="1:5" x14ac:dyDescent="0.25">
      <c r="B23" s="4">
        <v>19</v>
      </c>
      <c r="C23" s="6">
        <v>26</v>
      </c>
      <c r="D23" s="7">
        <f t="shared" si="1"/>
        <v>30</v>
      </c>
      <c r="E23" s="17">
        <f t="shared" si="0"/>
        <v>150</v>
      </c>
    </row>
    <row r="24" spans="1:5" x14ac:dyDescent="0.25">
      <c r="B24" s="4">
        <v>20</v>
      </c>
      <c r="C24" s="8">
        <v>29</v>
      </c>
      <c r="D24" s="7">
        <f t="shared" si="1"/>
        <v>30</v>
      </c>
      <c r="E24" s="17">
        <f t="shared" si="0"/>
        <v>180</v>
      </c>
    </row>
    <row r="25" spans="1:5" x14ac:dyDescent="0.25">
      <c r="B25" s="4">
        <v>21</v>
      </c>
      <c r="C25" s="6">
        <v>32</v>
      </c>
      <c r="D25" s="7">
        <f t="shared" si="1"/>
        <v>30</v>
      </c>
      <c r="E25" s="17">
        <f t="shared" si="0"/>
        <v>210</v>
      </c>
    </row>
    <row r="26" spans="1:5" x14ac:dyDescent="0.25">
      <c r="B26" s="4">
        <v>22</v>
      </c>
      <c r="C26" s="8">
        <v>35</v>
      </c>
      <c r="D26" s="7">
        <f t="shared" si="1"/>
        <v>30</v>
      </c>
      <c r="E26" s="17">
        <f t="shared" si="0"/>
        <v>240</v>
      </c>
    </row>
    <row r="27" spans="1:5" x14ac:dyDescent="0.25">
      <c r="A27" s="2" t="s">
        <v>5</v>
      </c>
      <c r="B27" s="4">
        <v>23</v>
      </c>
      <c r="C27" s="8">
        <v>35</v>
      </c>
      <c r="D27" s="7">
        <f t="shared" si="1"/>
        <v>0</v>
      </c>
      <c r="E27" s="17">
        <f t="shared" si="0"/>
        <v>240</v>
      </c>
    </row>
    <row r="28" spans="1:5" ht="12.75" customHeight="1" x14ac:dyDescent="0.25">
      <c r="B28" s="4">
        <v>24</v>
      </c>
      <c r="C28" s="8">
        <v>35</v>
      </c>
      <c r="D28" s="7">
        <f t="shared" si="1"/>
        <v>0</v>
      </c>
      <c r="E28" s="17">
        <f t="shared" si="0"/>
        <v>240</v>
      </c>
    </row>
    <row r="29" spans="1:5" ht="15.6" x14ac:dyDescent="0.25">
      <c r="B29" s="12" t="s">
        <v>6</v>
      </c>
      <c r="C29" s="9">
        <f>MAX(C5:C28)</f>
        <v>35</v>
      </c>
      <c r="D29" s="10">
        <f>MAX(D5:D28)</f>
        <v>30</v>
      </c>
      <c r="E29" s="10">
        <f>MAX(E5:E28)</f>
        <v>240</v>
      </c>
    </row>
    <row r="30" spans="1:5" ht="15.6" x14ac:dyDescent="0.25">
      <c r="B30" s="12" t="s">
        <v>7</v>
      </c>
      <c r="C30" s="9">
        <f>MIN(C5:C28)</f>
        <v>0</v>
      </c>
      <c r="D30" s="10">
        <f>MIN(D5:D28)</f>
        <v>0</v>
      </c>
      <c r="E30" s="10">
        <f>MIN(E5:E28)</f>
        <v>0</v>
      </c>
    </row>
    <row r="31" spans="1:5" ht="15.6" x14ac:dyDescent="0.25">
      <c r="B31" s="13" t="s">
        <v>8</v>
      </c>
      <c r="C31" s="9">
        <f>AVERAGE(C5:C28)</f>
        <v>11.541666666666666</v>
      </c>
      <c r="D31" s="10">
        <f>AVERAGE(D5:D28)</f>
        <v>10</v>
      </c>
      <c r="E31" s="10">
        <f>AVERAGE(E5:E28)</f>
        <v>65</v>
      </c>
    </row>
    <row r="32" spans="1:5" ht="15.75" customHeight="1" thickBot="1" x14ac:dyDescent="0.3">
      <c r="B32" s="14" t="s">
        <v>9</v>
      </c>
      <c r="C32" s="15">
        <f>SUM(C5:C28)</f>
        <v>277</v>
      </c>
      <c r="D32" s="15">
        <f>SUM(D5:D28)</f>
        <v>240</v>
      </c>
      <c r="E32" s="15">
        <f>SUM(E5:E28)</f>
        <v>1560</v>
      </c>
    </row>
    <row r="33" spans="2:2" hidden="1" x14ac:dyDescent="0.25"/>
    <row r="34" spans="2:2" hidden="1" x14ac:dyDescent="0.25"/>
    <row r="35" spans="2:2" hidden="1" x14ac:dyDescent="0.25"/>
    <row r="36" spans="2:2" hidden="1" x14ac:dyDescent="0.25"/>
    <row r="37" spans="2:2" hidden="1" x14ac:dyDescent="0.25"/>
    <row r="38" spans="2:2" hidden="1" x14ac:dyDescent="0.25"/>
    <row r="41" spans="2:2" x14ac:dyDescent="0.25">
      <c r="B41" s="2" t="s">
        <v>10</v>
      </c>
    </row>
  </sheetData>
  <mergeCells count="2">
    <mergeCell ref="C3:D3"/>
    <mergeCell ref="B1:E2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96EED-A13D-46CB-A192-D71F5FEB4CAC}">
  <sheetPr codeName="Hoja2">
    <tabColor rgb="FFFFFF00"/>
  </sheetPr>
  <dimension ref="A1:E41"/>
  <sheetViews>
    <sheetView topLeftCell="A13" zoomScale="120" zoomScaleNormal="120" workbookViewId="0">
      <selection activeCell="D20" sqref="D20"/>
    </sheetView>
  </sheetViews>
  <sheetFormatPr baseColWidth="10" defaultColWidth="11.44140625" defaultRowHeight="13.2" x14ac:dyDescent="0.25"/>
  <cols>
    <col min="1" max="1" width="1.6640625" style="2" customWidth="1"/>
    <col min="2" max="2" width="11.44140625" style="2" customWidth="1"/>
    <col min="3" max="3" width="11.6640625" style="2" customWidth="1"/>
    <col min="4" max="4" width="22" style="2" customWidth="1"/>
    <col min="5" max="5" width="28.5546875" style="2" customWidth="1"/>
    <col min="6" max="16384" width="11.44140625" style="2"/>
  </cols>
  <sheetData>
    <row r="1" spans="1:5" s="1" customFormat="1" ht="12.75" customHeight="1" x14ac:dyDescent="0.3">
      <c r="B1" s="27" t="s">
        <v>12</v>
      </c>
      <c r="C1" s="28"/>
      <c r="D1" s="28"/>
      <c r="E1" s="28"/>
    </row>
    <row r="2" spans="1:5" ht="25.5" customHeight="1" thickBot="1" x14ac:dyDescent="0.3">
      <c r="B2" s="29"/>
      <c r="C2" s="30"/>
      <c r="D2" s="30"/>
      <c r="E2" s="30"/>
    </row>
    <row r="3" spans="1:5" x14ac:dyDescent="0.25">
      <c r="B3" s="11" t="s">
        <v>0</v>
      </c>
      <c r="C3" s="26">
        <v>46140</v>
      </c>
      <c r="D3" s="26"/>
      <c r="E3" s="18"/>
    </row>
    <row r="4" spans="1:5" ht="18" customHeight="1" x14ac:dyDescent="0.25">
      <c r="A4" s="2">
        <v>0</v>
      </c>
      <c r="B4" s="16" t="s">
        <v>1</v>
      </c>
      <c r="C4" s="19" t="s">
        <v>2</v>
      </c>
      <c r="D4" s="19" t="s">
        <v>13</v>
      </c>
      <c r="E4" s="20" t="s">
        <v>11</v>
      </c>
    </row>
    <row r="5" spans="1:5" x14ac:dyDescent="0.25">
      <c r="B5" s="4">
        <v>1</v>
      </c>
      <c r="C5" s="6">
        <v>35</v>
      </c>
      <c r="D5" s="7">
        <f>C5-'27-ABRIL-2026'!C28</f>
        <v>0</v>
      </c>
      <c r="E5" s="17">
        <f>+D5</f>
        <v>0</v>
      </c>
    </row>
    <row r="6" spans="1:5" ht="11.25" customHeight="1" x14ac:dyDescent="0.25">
      <c r="B6" s="4">
        <v>2</v>
      </c>
      <c r="C6" s="6">
        <v>35</v>
      </c>
      <c r="D6" s="7">
        <f>SUM(C6-C5)*10</f>
        <v>0</v>
      </c>
      <c r="E6" s="17">
        <f t="shared" ref="E6:E28" si="0">+D6+E5</f>
        <v>0</v>
      </c>
    </row>
    <row r="7" spans="1:5" ht="11.25" customHeight="1" x14ac:dyDescent="0.25">
      <c r="B7" s="4">
        <v>3</v>
      </c>
      <c r="C7" s="6">
        <v>35</v>
      </c>
      <c r="D7" s="7">
        <f>SUM(C7-C6)*10</f>
        <v>0</v>
      </c>
      <c r="E7" s="17">
        <f t="shared" si="0"/>
        <v>0</v>
      </c>
    </row>
    <row r="8" spans="1:5" ht="12" customHeight="1" x14ac:dyDescent="0.25">
      <c r="B8" s="4">
        <v>4</v>
      </c>
      <c r="C8" s="6">
        <v>35</v>
      </c>
      <c r="D8" s="7">
        <f>SUM(C8-C7)*10</f>
        <v>0</v>
      </c>
      <c r="E8" s="17">
        <f t="shared" si="0"/>
        <v>0</v>
      </c>
    </row>
    <row r="9" spans="1:5" ht="15" customHeight="1" x14ac:dyDescent="0.25">
      <c r="A9" s="2">
        <v>0</v>
      </c>
      <c r="B9" s="4">
        <v>5</v>
      </c>
      <c r="C9" s="6">
        <v>37</v>
      </c>
      <c r="D9" s="7">
        <f t="shared" ref="D9:D28" si="1">SUM(C9-C8)*10</f>
        <v>20</v>
      </c>
      <c r="E9" s="17">
        <f t="shared" si="0"/>
        <v>20</v>
      </c>
    </row>
    <row r="10" spans="1:5" ht="15" customHeight="1" x14ac:dyDescent="0.25">
      <c r="A10" s="2" t="s">
        <v>3</v>
      </c>
      <c r="B10" s="4">
        <v>6</v>
      </c>
      <c r="C10" s="6">
        <v>39</v>
      </c>
      <c r="D10" s="7">
        <f t="shared" si="1"/>
        <v>20</v>
      </c>
      <c r="E10" s="17">
        <f t="shared" si="0"/>
        <v>40</v>
      </c>
    </row>
    <row r="11" spans="1:5" ht="12" customHeight="1" x14ac:dyDescent="0.25">
      <c r="B11" s="4">
        <v>7</v>
      </c>
      <c r="C11" s="6">
        <v>41</v>
      </c>
      <c r="D11" s="7">
        <f t="shared" si="1"/>
        <v>20</v>
      </c>
      <c r="E11" s="17">
        <f t="shared" si="0"/>
        <v>60</v>
      </c>
    </row>
    <row r="12" spans="1:5" ht="15.75" customHeight="1" x14ac:dyDescent="0.25">
      <c r="A12" s="2">
        <v>0</v>
      </c>
      <c r="B12" s="4">
        <v>8</v>
      </c>
      <c r="C12" s="6">
        <v>44</v>
      </c>
      <c r="D12" s="7">
        <f t="shared" si="1"/>
        <v>30</v>
      </c>
      <c r="E12" s="17">
        <f t="shared" si="0"/>
        <v>90</v>
      </c>
    </row>
    <row r="13" spans="1:5" ht="12" customHeight="1" x14ac:dyDescent="0.25">
      <c r="B13" s="4">
        <v>9</v>
      </c>
      <c r="C13" s="6">
        <v>46</v>
      </c>
      <c r="D13" s="7">
        <f t="shared" si="1"/>
        <v>20</v>
      </c>
      <c r="E13" s="17">
        <f t="shared" si="0"/>
        <v>110</v>
      </c>
    </row>
    <row r="14" spans="1:5" ht="14.25" customHeight="1" x14ac:dyDescent="0.25">
      <c r="B14" s="4">
        <v>10</v>
      </c>
      <c r="C14" s="6">
        <v>48</v>
      </c>
      <c r="D14" s="7">
        <f t="shared" si="1"/>
        <v>20</v>
      </c>
      <c r="E14" s="17">
        <f t="shared" si="0"/>
        <v>130</v>
      </c>
    </row>
    <row r="15" spans="1:5" x14ac:dyDescent="0.25">
      <c r="B15" s="4">
        <v>11</v>
      </c>
      <c r="C15" s="6">
        <v>51</v>
      </c>
      <c r="D15" s="7">
        <f t="shared" si="1"/>
        <v>30</v>
      </c>
      <c r="E15" s="17">
        <f t="shared" si="0"/>
        <v>160</v>
      </c>
    </row>
    <row r="16" spans="1:5" x14ac:dyDescent="0.25">
      <c r="A16" s="2">
        <v>0</v>
      </c>
      <c r="B16" s="4">
        <v>12</v>
      </c>
      <c r="C16" s="6">
        <v>53</v>
      </c>
      <c r="D16" s="7">
        <f t="shared" si="1"/>
        <v>20</v>
      </c>
      <c r="E16" s="17">
        <f t="shared" si="0"/>
        <v>180</v>
      </c>
    </row>
    <row r="17" spans="1:5" x14ac:dyDescent="0.25">
      <c r="B17" s="4">
        <v>13</v>
      </c>
      <c r="C17" s="6">
        <v>55</v>
      </c>
      <c r="D17" s="7">
        <f t="shared" si="1"/>
        <v>20</v>
      </c>
      <c r="E17" s="17">
        <f t="shared" si="0"/>
        <v>200</v>
      </c>
    </row>
    <row r="18" spans="1:5" ht="14.25" customHeight="1" x14ac:dyDescent="0.25">
      <c r="A18" s="3" t="s">
        <v>4</v>
      </c>
      <c r="B18" s="4">
        <v>14</v>
      </c>
      <c r="C18" s="6">
        <v>57</v>
      </c>
      <c r="D18" s="7">
        <f t="shared" si="1"/>
        <v>20</v>
      </c>
      <c r="E18" s="17">
        <f t="shared" si="0"/>
        <v>220</v>
      </c>
    </row>
    <row r="19" spans="1:5" x14ac:dyDescent="0.25">
      <c r="B19" s="4">
        <v>15</v>
      </c>
      <c r="C19" s="21">
        <v>59</v>
      </c>
      <c r="D19" s="7">
        <f t="shared" si="1"/>
        <v>20</v>
      </c>
      <c r="E19" s="17">
        <f t="shared" si="0"/>
        <v>240</v>
      </c>
    </row>
    <row r="20" spans="1:5" x14ac:dyDescent="0.25">
      <c r="A20" s="2">
        <v>0</v>
      </c>
      <c r="B20" s="4">
        <v>16</v>
      </c>
      <c r="C20" s="21">
        <v>61</v>
      </c>
      <c r="D20" s="7">
        <f t="shared" si="1"/>
        <v>20</v>
      </c>
      <c r="E20" s="17">
        <f t="shared" si="0"/>
        <v>260</v>
      </c>
    </row>
    <row r="21" spans="1:5" x14ac:dyDescent="0.25">
      <c r="B21" s="4">
        <v>17</v>
      </c>
      <c r="C21" s="5">
        <v>63</v>
      </c>
      <c r="D21" s="7">
        <f t="shared" si="1"/>
        <v>20</v>
      </c>
      <c r="E21" s="17">
        <f t="shared" si="0"/>
        <v>280</v>
      </c>
    </row>
    <row r="22" spans="1:5" x14ac:dyDescent="0.25">
      <c r="B22" s="4">
        <v>18</v>
      </c>
      <c r="C22" s="22">
        <v>65</v>
      </c>
      <c r="D22" s="7">
        <f t="shared" si="1"/>
        <v>20</v>
      </c>
      <c r="E22" s="17">
        <f t="shared" si="0"/>
        <v>300</v>
      </c>
    </row>
    <row r="23" spans="1:5" x14ac:dyDescent="0.25">
      <c r="B23" s="4">
        <v>19</v>
      </c>
      <c r="C23" s="6">
        <v>67</v>
      </c>
      <c r="D23" s="7">
        <f t="shared" si="1"/>
        <v>20</v>
      </c>
      <c r="E23" s="17">
        <f t="shared" si="0"/>
        <v>320</v>
      </c>
    </row>
    <row r="24" spans="1:5" x14ac:dyDescent="0.25">
      <c r="B24" s="4">
        <v>20</v>
      </c>
      <c r="C24" s="8">
        <v>69</v>
      </c>
      <c r="D24" s="7">
        <f t="shared" si="1"/>
        <v>20</v>
      </c>
      <c r="E24" s="17">
        <f t="shared" si="0"/>
        <v>340</v>
      </c>
    </row>
    <row r="25" spans="1:5" x14ac:dyDescent="0.25">
      <c r="B25" s="4">
        <v>21</v>
      </c>
      <c r="C25" s="6">
        <v>71</v>
      </c>
      <c r="D25" s="7">
        <f t="shared" si="1"/>
        <v>20</v>
      </c>
      <c r="E25" s="17">
        <f t="shared" si="0"/>
        <v>360</v>
      </c>
    </row>
    <row r="26" spans="1:5" x14ac:dyDescent="0.25">
      <c r="B26" s="4">
        <v>22</v>
      </c>
      <c r="C26" s="8">
        <v>73</v>
      </c>
      <c r="D26" s="7">
        <f t="shared" si="1"/>
        <v>20</v>
      </c>
      <c r="E26" s="17">
        <f t="shared" si="0"/>
        <v>380</v>
      </c>
    </row>
    <row r="27" spans="1:5" x14ac:dyDescent="0.25">
      <c r="A27" s="2" t="s">
        <v>5</v>
      </c>
      <c r="B27" s="4">
        <v>23</v>
      </c>
      <c r="C27" s="8">
        <v>73</v>
      </c>
      <c r="D27" s="7">
        <f t="shared" si="1"/>
        <v>0</v>
      </c>
      <c r="E27" s="17">
        <f t="shared" si="0"/>
        <v>380</v>
      </c>
    </row>
    <row r="28" spans="1:5" ht="12.75" customHeight="1" x14ac:dyDescent="0.25">
      <c r="B28" s="4">
        <v>24</v>
      </c>
      <c r="C28" s="8">
        <v>73</v>
      </c>
      <c r="D28" s="7">
        <f t="shared" si="1"/>
        <v>0</v>
      </c>
      <c r="E28" s="17">
        <f t="shared" si="0"/>
        <v>380</v>
      </c>
    </row>
    <row r="29" spans="1:5" ht="15.6" x14ac:dyDescent="0.25">
      <c r="B29" s="12" t="s">
        <v>6</v>
      </c>
      <c r="C29" s="9">
        <f>MAX(C5:C28)</f>
        <v>73</v>
      </c>
      <c r="D29" s="10">
        <f>MAX(D5:D28)</f>
        <v>30</v>
      </c>
      <c r="E29" s="10">
        <f>MAX(E5:E28)</f>
        <v>380</v>
      </c>
    </row>
    <row r="30" spans="1:5" ht="15.6" x14ac:dyDescent="0.25">
      <c r="B30" s="12" t="s">
        <v>7</v>
      </c>
      <c r="C30" s="9">
        <f>MIN(C5:C28)</f>
        <v>35</v>
      </c>
      <c r="D30" s="10">
        <f>MIN(D5:D28)</f>
        <v>0</v>
      </c>
      <c r="E30" s="10">
        <f>MIN(E5:E28)</f>
        <v>0</v>
      </c>
    </row>
    <row r="31" spans="1:5" ht="15.6" x14ac:dyDescent="0.25">
      <c r="B31" s="13" t="s">
        <v>8</v>
      </c>
      <c r="C31" s="9">
        <f>AVERAGE(C5:C28)</f>
        <v>53.541666666666664</v>
      </c>
      <c r="D31" s="10">
        <f>AVERAGE(D5:D28)</f>
        <v>15.833333333333334</v>
      </c>
      <c r="E31" s="10">
        <f>AVERAGE(E5:E28)</f>
        <v>185.41666666666666</v>
      </c>
    </row>
    <row r="32" spans="1:5" ht="15.75" customHeight="1" thickBot="1" x14ac:dyDescent="0.3">
      <c r="B32" s="14" t="s">
        <v>9</v>
      </c>
      <c r="C32" s="15">
        <f>SUM(C5:C28)</f>
        <v>1285</v>
      </c>
      <c r="D32" s="15">
        <f>SUM(D5:D28)</f>
        <v>380</v>
      </c>
      <c r="E32" s="15">
        <f>SUM(E5:E28)</f>
        <v>4450</v>
      </c>
    </row>
    <row r="33" spans="2:2" hidden="1" x14ac:dyDescent="0.25"/>
    <row r="34" spans="2:2" hidden="1" x14ac:dyDescent="0.25"/>
    <row r="35" spans="2:2" hidden="1" x14ac:dyDescent="0.25"/>
    <row r="36" spans="2:2" hidden="1" x14ac:dyDescent="0.25"/>
    <row r="37" spans="2:2" hidden="1" x14ac:dyDescent="0.25"/>
    <row r="38" spans="2:2" hidden="1" x14ac:dyDescent="0.25"/>
    <row r="41" spans="2:2" x14ac:dyDescent="0.25">
      <c r="B41" s="2" t="s">
        <v>10</v>
      </c>
    </row>
  </sheetData>
  <mergeCells count="2">
    <mergeCell ref="B1:E2"/>
    <mergeCell ref="C3:D3"/>
  </mergeCell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536EB-98BA-459F-9C9E-D969F002BCE1}">
  <sheetPr codeName="Hoja3">
    <tabColor rgb="FFFFFF00"/>
  </sheetPr>
  <dimension ref="A1:E41"/>
  <sheetViews>
    <sheetView zoomScale="120" zoomScaleNormal="120" workbookViewId="0">
      <selection activeCell="D28" sqref="D28"/>
    </sheetView>
  </sheetViews>
  <sheetFormatPr baseColWidth="10" defaultColWidth="11.44140625" defaultRowHeight="13.2" x14ac:dyDescent="0.25"/>
  <cols>
    <col min="1" max="1" width="1.6640625" style="2" customWidth="1"/>
    <col min="2" max="2" width="11.44140625" style="2" customWidth="1"/>
    <col min="3" max="3" width="11.6640625" style="2" customWidth="1"/>
    <col min="4" max="4" width="22" style="2" customWidth="1"/>
    <col min="5" max="5" width="28.5546875" style="2" customWidth="1"/>
    <col min="6" max="16384" width="11.44140625" style="2"/>
  </cols>
  <sheetData>
    <row r="1" spans="1:5" s="1" customFormat="1" ht="12.75" customHeight="1" x14ac:dyDescent="0.3">
      <c r="B1" s="31" t="s">
        <v>12</v>
      </c>
      <c r="C1" s="32"/>
      <c r="D1" s="32"/>
      <c r="E1" s="32"/>
    </row>
    <row r="2" spans="1:5" ht="25.5" customHeight="1" thickBot="1" x14ac:dyDescent="0.3">
      <c r="B2" s="33"/>
      <c r="C2" s="34"/>
      <c r="D2" s="34"/>
      <c r="E2" s="34"/>
    </row>
    <row r="3" spans="1:5" x14ac:dyDescent="0.25">
      <c r="B3" s="11" t="s">
        <v>0</v>
      </c>
      <c r="C3" s="26">
        <v>46141</v>
      </c>
      <c r="D3" s="26"/>
      <c r="E3" s="18"/>
    </row>
    <row r="4" spans="1:5" ht="18" customHeight="1" x14ac:dyDescent="0.25">
      <c r="A4" s="2">
        <v>0</v>
      </c>
      <c r="B4" s="23" t="s">
        <v>1</v>
      </c>
      <c r="C4" s="24" t="s">
        <v>2</v>
      </c>
      <c r="D4" s="24" t="s">
        <v>13</v>
      </c>
      <c r="E4" s="25" t="s">
        <v>11</v>
      </c>
    </row>
    <row r="5" spans="1:5" x14ac:dyDescent="0.25">
      <c r="B5" s="4">
        <v>1</v>
      </c>
      <c r="C5" s="6">
        <v>73</v>
      </c>
      <c r="D5" s="7">
        <f>C5-'28-ABRIL-2026'!C28</f>
        <v>0</v>
      </c>
      <c r="E5" s="17">
        <f>+D5</f>
        <v>0</v>
      </c>
    </row>
    <row r="6" spans="1:5" ht="11.25" customHeight="1" x14ac:dyDescent="0.25">
      <c r="B6" s="4">
        <v>2</v>
      </c>
      <c r="C6" s="6">
        <v>73</v>
      </c>
      <c r="D6" s="7">
        <f>SUM(C6-C5)*10</f>
        <v>0</v>
      </c>
      <c r="E6" s="17">
        <f t="shared" ref="E6:E28" si="0">+D6+E5</f>
        <v>0</v>
      </c>
    </row>
    <row r="7" spans="1:5" ht="11.25" customHeight="1" x14ac:dyDescent="0.25">
      <c r="B7" s="4">
        <v>3</v>
      </c>
      <c r="C7" s="6">
        <v>73</v>
      </c>
      <c r="D7" s="7">
        <f t="shared" ref="D7:D28" si="1">SUM(C7-C6)*10</f>
        <v>0</v>
      </c>
      <c r="E7" s="17">
        <f t="shared" si="0"/>
        <v>0</v>
      </c>
    </row>
    <row r="8" spans="1:5" ht="12" customHeight="1" x14ac:dyDescent="0.25">
      <c r="B8" s="4">
        <v>4</v>
      </c>
      <c r="C8" s="6">
        <v>73</v>
      </c>
      <c r="D8" s="7">
        <f t="shared" si="1"/>
        <v>0</v>
      </c>
      <c r="E8" s="17">
        <f t="shared" si="0"/>
        <v>0</v>
      </c>
    </row>
    <row r="9" spans="1:5" x14ac:dyDescent="0.25">
      <c r="A9" s="2">
        <v>0</v>
      </c>
      <c r="B9" s="4">
        <v>5</v>
      </c>
      <c r="C9" s="6">
        <v>75</v>
      </c>
      <c r="D9" s="7">
        <f t="shared" si="1"/>
        <v>20</v>
      </c>
      <c r="E9" s="17">
        <f t="shared" si="0"/>
        <v>20</v>
      </c>
    </row>
    <row r="10" spans="1:5" ht="15" customHeight="1" x14ac:dyDescent="0.25">
      <c r="A10" s="2" t="s">
        <v>3</v>
      </c>
      <c r="B10" s="4">
        <v>6</v>
      </c>
      <c r="C10" s="6">
        <v>79</v>
      </c>
      <c r="D10" s="7">
        <f t="shared" si="1"/>
        <v>40</v>
      </c>
      <c r="E10" s="17">
        <f t="shared" si="0"/>
        <v>60</v>
      </c>
    </row>
    <row r="11" spans="1:5" ht="12" customHeight="1" x14ac:dyDescent="0.25">
      <c r="B11" s="4">
        <v>7</v>
      </c>
      <c r="C11" s="6">
        <v>81</v>
      </c>
      <c r="D11" s="7">
        <f t="shared" si="1"/>
        <v>20</v>
      </c>
      <c r="E11" s="17">
        <f t="shared" si="0"/>
        <v>80</v>
      </c>
    </row>
    <row r="12" spans="1:5" ht="15.75" customHeight="1" x14ac:dyDescent="0.25">
      <c r="A12" s="2">
        <v>0</v>
      </c>
      <c r="B12" s="4">
        <v>8</v>
      </c>
      <c r="C12" s="6">
        <v>83</v>
      </c>
      <c r="D12" s="7">
        <f t="shared" si="1"/>
        <v>20</v>
      </c>
      <c r="E12" s="17">
        <f t="shared" si="0"/>
        <v>100</v>
      </c>
    </row>
    <row r="13" spans="1:5" ht="12" customHeight="1" x14ac:dyDescent="0.25">
      <c r="B13" s="4">
        <v>9</v>
      </c>
      <c r="C13" s="6">
        <v>85</v>
      </c>
      <c r="D13" s="7">
        <f t="shared" si="1"/>
        <v>20</v>
      </c>
      <c r="E13" s="17">
        <f t="shared" si="0"/>
        <v>120</v>
      </c>
    </row>
    <row r="14" spans="1:5" ht="14.25" customHeight="1" x14ac:dyDescent="0.25">
      <c r="B14" s="4">
        <v>10</v>
      </c>
      <c r="C14" s="6">
        <v>87</v>
      </c>
      <c r="D14" s="7">
        <f t="shared" si="1"/>
        <v>20</v>
      </c>
      <c r="E14" s="17">
        <f t="shared" si="0"/>
        <v>140</v>
      </c>
    </row>
    <row r="15" spans="1:5" x14ac:dyDescent="0.25">
      <c r="B15" s="4">
        <v>11</v>
      </c>
      <c r="C15" s="6">
        <v>89</v>
      </c>
      <c r="D15" s="7">
        <f t="shared" si="1"/>
        <v>20</v>
      </c>
      <c r="E15" s="17">
        <f t="shared" si="0"/>
        <v>160</v>
      </c>
    </row>
    <row r="16" spans="1:5" x14ac:dyDescent="0.25">
      <c r="A16" s="2">
        <v>0</v>
      </c>
      <c r="B16" s="4">
        <v>12</v>
      </c>
      <c r="C16" s="6">
        <v>91</v>
      </c>
      <c r="D16" s="7">
        <f t="shared" si="1"/>
        <v>20</v>
      </c>
      <c r="E16" s="17">
        <f t="shared" si="0"/>
        <v>180</v>
      </c>
    </row>
    <row r="17" spans="1:5" x14ac:dyDescent="0.25">
      <c r="B17" s="4">
        <v>13</v>
      </c>
      <c r="C17" s="6">
        <v>93</v>
      </c>
      <c r="D17" s="7">
        <f t="shared" si="1"/>
        <v>20</v>
      </c>
      <c r="E17" s="17">
        <f t="shared" si="0"/>
        <v>200</v>
      </c>
    </row>
    <row r="18" spans="1:5" ht="14.25" customHeight="1" x14ac:dyDescent="0.25">
      <c r="A18" s="3" t="s">
        <v>4</v>
      </c>
      <c r="B18" s="4">
        <v>14</v>
      </c>
      <c r="C18" s="6">
        <v>96</v>
      </c>
      <c r="D18" s="7">
        <f t="shared" si="1"/>
        <v>30</v>
      </c>
      <c r="E18" s="17">
        <f t="shared" si="0"/>
        <v>230</v>
      </c>
    </row>
    <row r="19" spans="1:5" x14ac:dyDescent="0.25">
      <c r="B19" s="4">
        <v>15</v>
      </c>
      <c r="C19" s="6">
        <v>97</v>
      </c>
      <c r="D19" s="7">
        <f t="shared" si="1"/>
        <v>10</v>
      </c>
      <c r="E19" s="17">
        <f t="shared" si="0"/>
        <v>240</v>
      </c>
    </row>
    <row r="20" spans="1:5" x14ac:dyDescent="0.25">
      <c r="A20" s="2">
        <v>0</v>
      </c>
      <c r="B20" s="4">
        <v>16</v>
      </c>
      <c r="C20" s="6">
        <v>99</v>
      </c>
      <c r="D20" s="7">
        <f t="shared" si="1"/>
        <v>20</v>
      </c>
      <c r="E20" s="17">
        <f t="shared" si="0"/>
        <v>260</v>
      </c>
    </row>
    <row r="21" spans="1:5" x14ac:dyDescent="0.25">
      <c r="B21" s="4">
        <v>17</v>
      </c>
      <c r="C21" s="6">
        <v>100</v>
      </c>
      <c r="D21" s="7">
        <f t="shared" si="1"/>
        <v>10</v>
      </c>
      <c r="E21" s="17">
        <f t="shared" si="0"/>
        <v>270</v>
      </c>
    </row>
    <row r="22" spans="1:5" x14ac:dyDescent="0.25">
      <c r="B22" s="4">
        <v>18</v>
      </c>
      <c r="C22" s="6">
        <v>102</v>
      </c>
      <c r="D22" s="7">
        <f t="shared" si="1"/>
        <v>20</v>
      </c>
      <c r="E22" s="17">
        <f t="shared" si="0"/>
        <v>290</v>
      </c>
    </row>
    <row r="23" spans="1:5" x14ac:dyDescent="0.25">
      <c r="B23" s="4">
        <v>19</v>
      </c>
      <c r="C23" s="6">
        <v>104</v>
      </c>
      <c r="D23" s="7">
        <f t="shared" si="1"/>
        <v>20</v>
      </c>
      <c r="E23" s="17">
        <f t="shared" si="0"/>
        <v>310</v>
      </c>
    </row>
    <row r="24" spans="1:5" x14ac:dyDescent="0.25">
      <c r="B24" s="4">
        <v>20</v>
      </c>
      <c r="C24" s="6">
        <v>106</v>
      </c>
      <c r="D24" s="7">
        <f>SUM(C24-C23)*10</f>
        <v>20</v>
      </c>
      <c r="E24" s="17">
        <f t="shared" si="0"/>
        <v>330</v>
      </c>
    </row>
    <row r="25" spans="1:5" x14ac:dyDescent="0.25">
      <c r="B25" s="4">
        <v>21</v>
      </c>
      <c r="C25" s="6">
        <v>109</v>
      </c>
      <c r="D25" s="7">
        <f>SUM(C25-C24)*10</f>
        <v>30</v>
      </c>
      <c r="E25" s="17">
        <f t="shared" si="0"/>
        <v>360</v>
      </c>
    </row>
    <row r="26" spans="1:5" x14ac:dyDescent="0.25">
      <c r="B26" s="4">
        <v>22</v>
      </c>
      <c r="C26" s="8">
        <v>111</v>
      </c>
      <c r="D26" s="7">
        <f>SUM(C26-C25)*10</f>
        <v>20</v>
      </c>
      <c r="E26" s="17">
        <f t="shared" si="0"/>
        <v>380</v>
      </c>
    </row>
    <row r="27" spans="1:5" x14ac:dyDescent="0.25">
      <c r="A27" s="2" t="s">
        <v>5</v>
      </c>
      <c r="B27" s="4">
        <v>23</v>
      </c>
      <c r="C27" s="6">
        <v>111</v>
      </c>
      <c r="D27" s="7">
        <f>SUM(C27-C26)*10</f>
        <v>0</v>
      </c>
      <c r="E27" s="17">
        <f t="shared" si="0"/>
        <v>380</v>
      </c>
    </row>
    <row r="28" spans="1:5" ht="12.75" customHeight="1" x14ac:dyDescent="0.25">
      <c r="B28" s="4">
        <v>24</v>
      </c>
      <c r="C28" s="6">
        <v>111</v>
      </c>
      <c r="D28" s="7">
        <f t="shared" si="1"/>
        <v>0</v>
      </c>
      <c r="E28" s="17">
        <f t="shared" si="0"/>
        <v>380</v>
      </c>
    </row>
    <row r="29" spans="1:5" ht="15.6" x14ac:dyDescent="0.25">
      <c r="B29" s="12" t="s">
        <v>6</v>
      </c>
      <c r="C29" s="9">
        <f>MAX(C5:C28)</f>
        <v>111</v>
      </c>
      <c r="D29" s="10">
        <f>MAX(D5:D28)</f>
        <v>40</v>
      </c>
      <c r="E29" s="10">
        <f>MAX(E5:E28)</f>
        <v>380</v>
      </c>
    </row>
    <row r="30" spans="1:5" ht="15.6" x14ac:dyDescent="0.25">
      <c r="B30" s="12" t="s">
        <v>7</v>
      </c>
      <c r="C30" s="9">
        <f>MIN(C5:C28)</f>
        <v>73</v>
      </c>
      <c r="D30" s="10">
        <f>MIN(D5:D28)</f>
        <v>0</v>
      </c>
      <c r="E30" s="10">
        <f>MIN(E5:E28)</f>
        <v>0</v>
      </c>
    </row>
    <row r="31" spans="1:5" ht="15.6" x14ac:dyDescent="0.25">
      <c r="B31" s="13" t="s">
        <v>8</v>
      </c>
      <c r="C31" s="9">
        <f>AVERAGE(C5:C28)</f>
        <v>91.708333333333329</v>
      </c>
      <c r="D31" s="10">
        <f>AVERAGE(D5:D28)</f>
        <v>15.833333333333334</v>
      </c>
      <c r="E31" s="10">
        <f>AVERAGE(E5:E28)</f>
        <v>187.08333333333334</v>
      </c>
    </row>
    <row r="32" spans="1:5" ht="15.75" customHeight="1" thickBot="1" x14ac:dyDescent="0.3">
      <c r="B32" s="14" t="s">
        <v>9</v>
      </c>
      <c r="C32" s="15">
        <f>SUM(C5:C28)</f>
        <v>2201</v>
      </c>
      <c r="D32" s="15">
        <f>SUM(D5:D28)</f>
        <v>380</v>
      </c>
      <c r="E32" s="15">
        <f>SUM(E5:E28)</f>
        <v>4490</v>
      </c>
    </row>
    <row r="33" spans="2:2" hidden="1" x14ac:dyDescent="0.25"/>
    <row r="34" spans="2:2" hidden="1" x14ac:dyDescent="0.25"/>
    <row r="35" spans="2:2" hidden="1" x14ac:dyDescent="0.25"/>
    <row r="36" spans="2:2" hidden="1" x14ac:dyDescent="0.25"/>
    <row r="37" spans="2:2" hidden="1" x14ac:dyDescent="0.25"/>
    <row r="38" spans="2:2" hidden="1" x14ac:dyDescent="0.25"/>
    <row r="41" spans="2:2" x14ac:dyDescent="0.25">
      <c r="B41" s="2" t="s">
        <v>10</v>
      </c>
    </row>
  </sheetData>
  <mergeCells count="2">
    <mergeCell ref="B1:E2"/>
    <mergeCell ref="C3:D3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D5B67-FEA9-4B17-91EF-C14864EBDCD5}">
  <sheetPr codeName="Hoja4">
    <tabColor rgb="FFFFFF00"/>
  </sheetPr>
  <dimension ref="A1:E41"/>
  <sheetViews>
    <sheetView zoomScale="120" zoomScaleNormal="120" workbookViewId="0">
      <selection activeCell="D6" sqref="D6"/>
    </sheetView>
  </sheetViews>
  <sheetFormatPr baseColWidth="10" defaultColWidth="11.44140625" defaultRowHeight="13.2" x14ac:dyDescent="0.25"/>
  <cols>
    <col min="1" max="1" width="1.6640625" style="2" customWidth="1"/>
    <col min="2" max="2" width="11.44140625" style="2" customWidth="1"/>
    <col min="3" max="3" width="11.6640625" style="2" customWidth="1"/>
    <col min="4" max="4" width="22" style="2" customWidth="1"/>
    <col min="5" max="5" width="28.5546875" style="2" customWidth="1"/>
    <col min="6" max="16384" width="11.44140625" style="2"/>
  </cols>
  <sheetData>
    <row r="1" spans="1:5" s="1" customFormat="1" ht="12.75" customHeight="1" x14ac:dyDescent="0.3">
      <c r="B1" s="31" t="s">
        <v>12</v>
      </c>
      <c r="C1" s="32"/>
      <c r="D1" s="32"/>
      <c r="E1" s="32"/>
    </row>
    <row r="2" spans="1:5" ht="25.5" customHeight="1" thickBot="1" x14ac:dyDescent="0.3">
      <c r="B2" s="33"/>
      <c r="C2" s="34"/>
      <c r="D2" s="34"/>
      <c r="E2" s="34"/>
    </row>
    <row r="3" spans="1:5" x14ac:dyDescent="0.25">
      <c r="B3" s="11" t="s">
        <v>0</v>
      </c>
      <c r="C3" s="26">
        <v>46142</v>
      </c>
      <c r="D3" s="26"/>
      <c r="E3" s="18"/>
    </row>
    <row r="4" spans="1:5" ht="18" customHeight="1" x14ac:dyDescent="0.25">
      <c r="A4" s="2">
        <v>0</v>
      </c>
      <c r="B4" s="23" t="s">
        <v>1</v>
      </c>
      <c r="C4" s="24" t="s">
        <v>2</v>
      </c>
      <c r="D4" s="24" t="s">
        <v>13</v>
      </c>
      <c r="E4" s="25" t="s">
        <v>11</v>
      </c>
    </row>
    <row r="5" spans="1:5" x14ac:dyDescent="0.25">
      <c r="B5" s="4">
        <v>1</v>
      </c>
      <c r="C5" s="6">
        <v>111</v>
      </c>
      <c r="D5" s="7">
        <f>C5-'29-ABRIL-2026'!C28</f>
        <v>0</v>
      </c>
      <c r="E5" s="17">
        <f>+D5</f>
        <v>0</v>
      </c>
    </row>
    <row r="6" spans="1:5" ht="11.25" customHeight="1" x14ac:dyDescent="0.25">
      <c r="B6" s="4">
        <v>2</v>
      </c>
      <c r="C6" s="6">
        <v>111</v>
      </c>
      <c r="D6" s="7">
        <f>SUM(C6-C5)*10</f>
        <v>0</v>
      </c>
      <c r="E6" s="17">
        <f t="shared" ref="E6:E28" si="0">+D6+E5</f>
        <v>0</v>
      </c>
    </row>
    <row r="7" spans="1:5" ht="11.25" customHeight="1" x14ac:dyDescent="0.25">
      <c r="B7" s="4">
        <v>3</v>
      </c>
      <c r="C7" s="6">
        <v>111</v>
      </c>
      <c r="D7" s="7">
        <f t="shared" ref="D7:D28" si="1">SUM(C7-C6)*10</f>
        <v>0</v>
      </c>
      <c r="E7" s="17">
        <f t="shared" si="0"/>
        <v>0</v>
      </c>
    </row>
    <row r="8" spans="1:5" ht="12" customHeight="1" x14ac:dyDescent="0.25">
      <c r="B8" s="4">
        <v>4</v>
      </c>
      <c r="C8" s="6">
        <v>111</v>
      </c>
      <c r="D8" s="7">
        <f>SUM(C8-C7)*10</f>
        <v>0</v>
      </c>
      <c r="E8" s="17">
        <f t="shared" si="0"/>
        <v>0</v>
      </c>
    </row>
    <row r="9" spans="1:5" x14ac:dyDescent="0.25">
      <c r="A9" s="2">
        <v>0</v>
      </c>
      <c r="B9" s="4">
        <v>5</v>
      </c>
      <c r="C9" s="6">
        <v>114</v>
      </c>
      <c r="D9" s="7">
        <f t="shared" si="1"/>
        <v>30</v>
      </c>
      <c r="E9" s="17">
        <f t="shared" si="0"/>
        <v>30</v>
      </c>
    </row>
    <row r="10" spans="1:5" ht="15" customHeight="1" x14ac:dyDescent="0.25">
      <c r="A10" s="2" t="s">
        <v>3</v>
      </c>
      <c r="B10" s="4">
        <v>6</v>
      </c>
      <c r="C10" s="6">
        <v>117</v>
      </c>
      <c r="D10" s="7">
        <f t="shared" si="1"/>
        <v>30</v>
      </c>
      <c r="E10" s="17">
        <f t="shared" si="0"/>
        <v>60</v>
      </c>
    </row>
    <row r="11" spans="1:5" ht="12" customHeight="1" x14ac:dyDescent="0.25">
      <c r="B11" s="4">
        <v>7</v>
      </c>
      <c r="C11" s="6">
        <v>119</v>
      </c>
      <c r="D11" s="7">
        <f t="shared" si="1"/>
        <v>20</v>
      </c>
      <c r="E11" s="17">
        <f t="shared" si="0"/>
        <v>80</v>
      </c>
    </row>
    <row r="12" spans="1:5" ht="15.75" customHeight="1" x14ac:dyDescent="0.25">
      <c r="A12" s="2">
        <v>0</v>
      </c>
      <c r="B12" s="4">
        <v>8</v>
      </c>
      <c r="C12" s="6">
        <v>121</v>
      </c>
      <c r="D12" s="7">
        <f t="shared" si="1"/>
        <v>20</v>
      </c>
      <c r="E12" s="17">
        <f t="shared" si="0"/>
        <v>100</v>
      </c>
    </row>
    <row r="13" spans="1:5" ht="12" customHeight="1" x14ac:dyDescent="0.25">
      <c r="B13" s="4">
        <v>9</v>
      </c>
      <c r="C13" s="6">
        <v>124</v>
      </c>
      <c r="D13" s="7">
        <f t="shared" si="1"/>
        <v>30</v>
      </c>
      <c r="E13" s="17">
        <f t="shared" si="0"/>
        <v>130</v>
      </c>
    </row>
    <row r="14" spans="1:5" ht="14.25" customHeight="1" x14ac:dyDescent="0.25">
      <c r="B14" s="4">
        <v>10</v>
      </c>
      <c r="C14" s="6">
        <v>125</v>
      </c>
      <c r="D14" s="7">
        <f t="shared" si="1"/>
        <v>10</v>
      </c>
      <c r="E14" s="17">
        <f t="shared" si="0"/>
        <v>140</v>
      </c>
    </row>
    <row r="15" spans="1:5" x14ac:dyDescent="0.25">
      <c r="B15" s="4">
        <v>11</v>
      </c>
      <c r="C15" s="6">
        <v>128</v>
      </c>
      <c r="D15" s="7">
        <f t="shared" si="1"/>
        <v>30</v>
      </c>
      <c r="E15" s="17">
        <f t="shared" si="0"/>
        <v>170</v>
      </c>
    </row>
    <row r="16" spans="1:5" x14ac:dyDescent="0.25">
      <c r="A16" s="2">
        <v>0</v>
      </c>
      <c r="B16" s="4">
        <v>12</v>
      </c>
      <c r="C16" s="6">
        <v>130</v>
      </c>
      <c r="D16" s="7">
        <f t="shared" si="1"/>
        <v>20</v>
      </c>
      <c r="E16" s="17">
        <f t="shared" si="0"/>
        <v>190</v>
      </c>
    </row>
    <row r="17" spans="1:5" x14ac:dyDescent="0.25">
      <c r="B17" s="4">
        <v>13</v>
      </c>
      <c r="C17" s="6">
        <v>132</v>
      </c>
      <c r="D17" s="7">
        <f t="shared" si="1"/>
        <v>20</v>
      </c>
      <c r="E17" s="17">
        <f t="shared" si="0"/>
        <v>210</v>
      </c>
    </row>
    <row r="18" spans="1:5" ht="14.25" customHeight="1" x14ac:dyDescent="0.25">
      <c r="A18" s="3" t="s">
        <v>4</v>
      </c>
      <c r="B18" s="4">
        <v>14</v>
      </c>
      <c r="C18" s="6">
        <v>134</v>
      </c>
      <c r="D18" s="7">
        <f t="shared" si="1"/>
        <v>20</v>
      </c>
      <c r="E18" s="17">
        <f t="shared" si="0"/>
        <v>230</v>
      </c>
    </row>
    <row r="19" spans="1:5" x14ac:dyDescent="0.25">
      <c r="B19" s="4">
        <v>15</v>
      </c>
      <c r="C19" s="6">
        <v>136</v>
      </c>
      <c r="D19" s="7">
        <f t="shared" si="1"/>
        <v>20</v>
      </c>
      <c r="E19" s="17">
        <f t="shared" si="0"/>
        <v>250</v>
      </c>
    </row>
    <row r="20" spans="1:5" x14ac:dyDescent="0.25">
      <c r="A20" s="2">
        <v>0</v>
      </c>
      <c r="B20" s="4">
        <v>16</v>
      </c>
      <c r="C20" s="6">
        <v>138</v>
      </c>
      <c r="D20" s="7">
        <f t="shared" si="1"/>
        <v>20</v>
      </c>
      <c r="E20" s="17">
        <f t="shared" si="0"/>
        <v>270</v>
      </c>
    </row>
    <row r="21" spans="1:5" x14ac:dyDescent="0.25">
      <c r="B21" s="4">
        <v>17</v>
      </c>
      <c r="C21" s="6">
        <v>139</v>
      </c>
      <c r="D21" s="7">
        <f t="shared" si="1"/>
        <v>10</v>
      </c>
      <c r="E21" s="17">
        <f t="shared" si="0"/>
        <v>280</v>
      </c>
    </row>
    <row r="22" spans="1:5" x14ac:dyDescent="0.25">
      <c r="B22" s="4">
        <v>18</v>
      </c>
      <c r="C22" s="6">
        <v>141</v>
      </c>
      <c r="D22" s="7">
        <f t="shared" si="1"/>
        <v>20</v>
      </c>
      <c r="E22" s="17">
        <f t="shared" si="0"/>
        <v>300</v>
      </c>
    </row>
    <row r="23" spans="1:5" x14ac:dyDescent="0.25">
      <c r="B23" s="4">
        <v>19</v>
      </c>
      <c r="C23" s="6">
        <v>143</v>
      </c>
      <c r="D23" s="7">
        <f t="shared" si="1"/>
        <v>20</v>
      </c>
      <c r="E23" s="17">
        <f t="shared" si="0"/>
        <v>320</v>
      </c>
    </row>
    <row r="24" spans="1:5" x14ac:dyDescent="0.25">
      <c r="B24" s="4">
        <v>20</v>
      </c>
      <c r="C24" s="6">
        <v>145</v>
      </c>
      <c r="D24" s="7">
        <f t="shared" si="1"/>
        <v>20</v>
      </c>
      <c r="E24" s="17">
        <f t="shared" si="0"/>
        <v>340</v>
      </c>
    </row>
    <row r="25" spans="1:5" x14ac:dyDescent="0.25">
      <c r="B25" s="4">
        <v>21</v>
      </c>
      <c r="C25" s="6">
        <v>147</v>
      </c>
      <c r="D25" s="7">
        <f t="shared" si="1"/>
        <v>20</v>
      </c>
      <c r="E25" s="17">
        <f t="shared" si="0"/>
        <v>360</v>
      </c>
    </row>
    <row r="26" spans="1:5" x14ac:dyDescent="0.25">
      <c r="B26" s="4">
        <v>22</v>
      </c>
      <c r="C26" s="8">
        <v>149</v>
      </c>
      <c r="D26" s="7">
        <f t="shared" si="1"/>
        <v>20</v>
      </c>
      <c r="E26" s="17">
        <f t="shared" si="0"/>
        <v>380</v>
      </c>
    </row>
    <row r="27" spans="1:5" x14ac:dyDescent="0.25">
      <c r="A27" s="2" t="s">
        <v>5</v>
      </c>
      <c r="B27" s="4">
        <v>23</v>
      </c>
      <c r="C27" s="8">
        <v>149</v>
      </c>
      <c r="D27" s="7">
        <f t="shared" si="1"/>
        <v>0</v>
      </c>
      <c r="E27" s="17">
        <f t="shared" si="0"/>
        <v>380</v>
      </c>
    </row>
    <row r="28" spans="1:5" ht="12.75" customHeight="1" x14ac:dyDescent="0.25">
      <c r="B28" s="4">
        <v>24</v>
      </c>
      <c r="C28" s="8">
        <v>149</v>
      </c>
      <c r="D28" s="7">
        <f t="shared" si="1"/>
        <v>0</v>
      </c>
      <c r="E28" s="17">
        <f t="shared" si="0"/>
        <v>380</v>
      </c>
    </row>
    <row r="29" spans="1:5" ht="15.6" x14ac:dyDescent="0.25">
      <c r="B29" s="12" t="s">
        <v>6</v>
      </c>
      <c r="C29" s="9">
        <f>MAX(C5:C28)</f>
        <v>149</v>
      </c>
      <c r="D29" s="10">
        <f>MAX(D5:D28)</f>
        <v>30</v>
      </c>
      <c r="E29" s="10">
        <f>MAX(E5:E28)</f>
        <v>380</v>
      </c>
    </row>
    <row r="30" spans="1:5" ht="15.6" x14ac:dyDescent="0.25">
      <c r="B30" s="12" t="s">
        <v>7</v>
      </c>
      <c r="C30" s="9">
        <f>MIN(C5:C28)</f>
        <v>111</v>
      </c>
      <c r="D30" s="10">
        <f>MIN(D5:D28)</f>
        <v>0</v>
      </c>
      <c r="E30" s="10">
        <f>MIN(E5:E28)</f>
        <v>0</v>
      </c>
    </row>
    <row r="31" spans="1:5" ht="15.6" x14ac:dyDescent="0.25">
      <c r="B31" s="13" t="s">
        <v>8</v>
      </c>
      <c r="C31" s="9">
        <f>AVERAGE(C5:C28)</f>
        <v>130.16666666666666</v>
      </c>
      <c r="D31" s="10">
        <f>AVERAGE(D5:D28)</f>
        <v>15.833333333333334</v>
      </c>
      <c r="E31" s="10">
        <f>AVERAGE(E5:E28)</f>
        <v>191.66666666666666</v>
      </c>
    </row>
    <row r="32" spans="1:5" ht="15.75" customHeight="1" thickBot="1" x14ac:dyDescent="0.3">
      <c r="B32" s="14" t="s">
        <v>9</v>
      </c>
      <c r="C32" s="15">
        <f>SUM(C5:C28)</f>
        <v>3124</v>
      </c>
      <c r="D32" s="15">
        <f>SUM(D5:D28)</f>
        <v>380</v>
      </c>
      <c r="E32" s="15">
        <f>SUM(E5:E28)</f>
        <v>4600</v>
      </c>
    </row>
    <row r="33" spans="2:2" hidden="1" x14ac:dyDescent="0.25"/>
    <row r="34" spans="2:2" hidden="1" x14ac:dyDescent="0.25"/>
    <row r="35" spans="2:2" hidden="1" x14ac:dyDescent="0.25"/>
    <row r="36" spans="2:2" hidden="1" x14ac:dyDescent="0.25"/>
    <row r="37" spans="2:2" hidden="1" x14ac:dyDescent="0.25"/>
    <row r="38" spans="2:2" hidden="1" x14ac:dyDescent="0.25"/>
    <row r="41" spans="2:2" x14ac:dyDescent="0.25">
      <c r="B41" s="2" t="s">
        <v>10</v>
      </c>
    </row>
  </sheetData>
  <mergeCells count="2">
    <mergeCell ref="B1:E2"/>
    <mergeCell ref="C3:D3"/>
  </mergeCells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23F1E-A958-4266-8E17-3BCF32BDAD7C}">
  <sheetPr codeName="Hoja5">
    <tabColor rgb="FFFFFF00"/>
  </sheetPr>
  <dimension ref="A1:E41"/>
  <sheetViews>
    <sheetView topLeftCell="A4" zoomScale="120" zoomScaleNormal="120" workbookViewId="0">
      <selection activeCell="D6" sqref="D6"/>
    </sheetView>
  </sheetViews>
  <sheetFormatPr baseColWidth="10" defaultColWidth="11.44140625" defaultRowHeight="13.2" x14ac:dyDescent="0.25"/>
  <cols>
    <col min="1" max="1" width="1.6640625" style="2" customWidth="1"/>
    <col min="2" max="2" width="11.44140625" style="2" customWidth="1"/>
    <col min="3" max="3" width="11.6640625" style="2" customWidth="1"/>
    <col min="4" max="4" width="22" style="2" customWidth="1"/>
    <col min="5" max="5" width="28.5546875" style="2" customWidth="1"/>
    <col min="6" max="16384" width="11.44140625" style="2"/>
  </cols>
  <sheetData>
    <row r="1" spans="1:5" s="1" customFormat="1" ht="12.75" customHeight="1" x14ac:dyDescent="0.3">
      <c r="B1" s="31" t="s">
        <v>12</v>
      </c>
      <c r="C1" s="32"/>
      <c r="D1" s="32"/>
      <c r="E1" s="32"/>
    </row>
    <row r="2" spans="1:5" ht="25.5" customHeight="1" thickBot="1" x14ac:dyDescent="0.3">
      <c r="B2" s="33"/>
      <c r="C2" s="34"/>
      <c r="D2" s="34"/>
      <c r="E2" s="34"/>
    </row>
    <row r="3" spans="1:5" x14ac:dyDescent="0.25">
      <c r="B3" s="11" t="s">
        <v>0</v>
      </c>
      <c r="C3" s="26">
        <v>46143</v>
      </c>
      <c r="D3" s="26"/>
      <c r="E3" s="18"/>
    </row>
    <row r="4" spans="1:5" ht="18" customHeight="1" x14ac:dyDescent="0.25">
      <c r="A4" s="2">
        <v>0</v>
      </c>
      <c r="B4" s="23" t="s">
        <v>1</v>
      </c>
      <c r="C4" s="24" t="s">
        <v>2</v>
      </c>
      <c r="D4" s="24" t="s">
        <v>13</v>
      </c>
      <c r="E4" s="25" t="s">
        <v>11</v>
      </c>
    </row>
    <row r="5" spans="1:5" x14ac:dyDescent="0.25">
      <c r="B5" s="4">
        <v>1</v>
      </c>
      <c r="C5" s="6">
        <v>149</v>
      </c>
      <c r="D5" s="7">
        <f>C5-'30-ABRIL-2026'!C28</f>
        <v>0</v>
      </c>
      <c r="E5" s="17">
        <f>+D5</f>
        <v>0</v>
      </c>
    </row>
    <row r="6" spans="1:5" ht="11.25" customHeight="1" x14ac:dyDescent="0.25">
      <c r="B6" s="4">
        <v>2</v>
      </c>
      <c r="C6" s="6">
        <v>149</v>
      </c>
      <c r="D6" s="7">
        <f>SUM(C6-C5)*10</f>
        <v>0</v>
      </c>
      <c r="E6" s="17">
        <f t="shared" ref="E6:E28" si="0">+D6+E5</f>
        <v>0</v>
      </c>
    </row>
    <row r="7" spans="1:5" ht="11.25" customHeight="1" x14ac:dyDescent="0.25">
      <c r="B7" s="4">
        <v>3</v>
      </c>
      <c r="C7" s="6">
        <v>149</v>
      </c>
      <c r="D7" s="7">
        <f t="shared" ref="D7:D28" si="1">SUM(C7-C6)*10</f>
        <v>0</v>
      </c>
      <c r="E7" s="17">
        <f t="shared" si="0"/>
        <v>0</v>
      </c>
    </row>
    <row r="8" spans="1:5" ht="12" customHeight="1" x14ac:dyDescent="0.25">
      <c r="B8" s="4">
        <v>4</v>
      </c>
      <c r="C8" s="6">
        <v>149</v>
      </c>
      <c r="D8" s="7">
        <f>SUM(C8-C7)*10</f>
        <v>0</v>
      </c>
      <c r="E8" s="17">
        <f t="shared" si="0"/>
        <v>0</v>
      </c>
    </row>
    <row r="9" spans="1:5" x14ac:dyDescent="0.25">
      <c r="A9" s="2">
        <v>0</v>
      </c>
      <c r="B9" s="4">
        <v>5</v>
      </c>
      <c r="C9" s="6">
        <v>153</v>
      </c>
      <c r="D9" s="7">
        <f t="shared" si="1"/>
        <v>40</v>
      </c>
      <c r="E9" s="17">
        <f t="shared" si="0"/>
        <v>40</v>
      </c>
    </row>
    <row r="10" spans="1:5" ht="15" customHeight="1" x14ac:dyDescent="0.25">
      <c r="A10" s="2" t="s">
        <v>3</v>
      </c>
      <c r="B10" s="4">
        <v>6</v>
      </c>
      <c r="C10" s="6">
        <v>155</v>
      </c>
      <c r="D10" s="7">
        <f t="shared" si="1"/>
        <v>20</v>
      </c>
      <c r="E10" s="17">
        <f t="shared" si="0"/>
        <v>60</v>
      </c>
    </row>
    <row r="11" spans="1:5" ht="12" customHeight="1" x14ac:dyDescent="0.25">
      <c r="B11" s="4">
        <v>7</v>
      </c>
      <c r="C11" s="6">
        <v>157</v>
      </c>
      <c r="D11" s="7">
        <f t="shared" si="1"/>
        <v>20</v>
      </c>
      <c r="E11" s="17">
        <f t="shared" si="0"/>
        <v>80</v>
      </c>
    </row>
    <row r="12" spans="1:5" ht="15.75" customHeight="1" x14ac:dyDescent="0.25">
      <c r="A12" s="2">
        <v>0</v>
      </c>
      <c r="B12" s="4">
        <v>8</v>
      </c>
      <c r="C12" s="6">
        <v>159</v>
      </c>
      <c r="D12" s="7">
        <f t="shared" si="1"/>
        <v>20</v>
      </c>
      <c r="E12" s="17">
        <f t="shared" si="0"/>
        <v>100</v>
      </c>
    </row>
    <row r="13" spans="1:5" ht="12" customHeight="1" x14ac:dyDescent="0.25">
      <c r="B13" s="4">
        <v>9</v>
      </c>
      <c r="C13" s="6">
        <v>161</v>
      </c>
      <c r="D13" s="7">
        <f t="shared" si="1"/>
        <v>20</v>
      </c>
      <c r="E13" s="17">
        <f t="shared" si="0"/>
        <v>120</v>
      </c>
    </row>
    <row r="14" spans="1:5" ht="14.25" customHeight="1" x14ac:dyDescent="0.25">
      <c r="B14" s="4">
        <v>10</v>
      </c>
      <c r="C14" s="6">
        <v>164</v>
      </c>
      <c r="D14" s="7">
        <f t="shared" si="1"/>
        <v>30</v>
      </c>
      <c r="E14" s="17">
        <f t="shared" si="0"/>
        <v>150</v>
      </c>
    </row>
    <row r="15" spans="1:5" x14ac:dyDescent="0.25">
      <c r="B15" s="4">
        <v>11</v>
      </c>
      <c r="C15" s="6">
        <v>168</v>
      </c>
      <c r="D15" s="7">
        <f t="shared" si="1"/>
        <v>40</v>
      </c>
      <c r="E15" s="17">
        <f t="shared" si="0"/>
        <v>190</v>
      </c>
    </row>
    <row r="16" spans="1:5" x14ac:dyDescent="0.25">
      <c r="A16" s="2">
        <v>0</v>
      </c>
      <c r="B16" s="4">
        <v>12</v>
      </c>
      <c r="C16" s="6">
        <v>173</v>
      </c>
      <c r="D16" s="7">
        <f t="shared" si="1"/>
        <v>50</v>
      </c>
      <c r="E16" s="17">
        <f t="shared" si="0"/>
        <v>240</v>
      </c>
    </row>
    <row r="17" spans="1:5" x14ac:dyDescent="0.25">
      <c r="B17" s="4">
        <v>13</v>
      </c>
      <c r="C17" s="6">
        <v>177</v>
      </c>
      <c r="D17" s="7">
        <f t="shared" si="1"/>
        <v>40</v>
      </c>
      <c r="E17" s="17">
        <f t="shared" si="0"/>
        <v>280</v>
      </c>
    </row>
    <row r="18" spans="1:5" ht="14.25" customHeight="1" x14ac:dyDescent="0.25">
      <c r="A18" s="3" t="s">
        <v>4</v>
      </c>
      <c r="B18" s="4">
        <v>14</v>
      </c>
      <c r="C18" s="6">
        <v>179</v>
      </c>
      <c r="D18" s="7">
        <f t="shared" si="1"/>
        <v>20</v>
      </c>
      <c r="E18" s="17">
        <f t="shared" si="0"/>
        <v>300</v>
      </c>
    </row>
    <row r="19" spans="1:5" x14ac:dyDescent="0.25">
      <c r="B19" s="4">
        <v>15</v>
      </c>
      <c r="C19" s="6">
        <v>182</v>
      </c>
      <c r="D19" s="7">
        <f t="shared" si="1"/>
        <v>30</v>
      </c>
      <c r="E19" s="17">
        <f t="shared" si="0"/>
        <v>330</v>
      </c>
    </row>
    <row r="20" spans="1:5" x14ac:dyDescent="0.25">
      <c r="A20" s="2">
        <v>0</v>
      </c>
      <c r="B20" s="4">
        <v>16</v>
      </c>
      <c r="C20" s="6">
        <v>185</v>
      </c>
      <c r="D20" s="7">
        <f t="shared" si="1"/>
        <v>30</v>
      </c>
      <c r="E20" s="17">
        <f t="shared" si="0"/>
        <v>360</v>
      </c>
    </row>
    <row r="21" spans="1:5" x14ac:dyDescent="0.25">
      <c r="B21" s="4">
        <v>17</v>
      </c>
      <c r="C21" s="6">
        <v>187</v>
      </c>
      <c r="D21" s="7">
        <f t="shared" si="1"/>
        <v>20</v>
      </c>
      <c r="E21" s="17">
        <f t="shared" si="0"/>
        <v>380</v>
      </c>
    </row>
    <row r="22" spans="1:5" x14ac:dyDescent="0.25">
      <c r="B22" s="4">
        <v>18</v>
      </c>
      <c r="C22" s="6">
        <v>189</v>
      </c>
      <c r="D22" s="7">
        <f t="shared" si="1"/>
        <v>20</v>
      </c>
      <c r="E22" s="17">
        <f t="shared" si="0"/>
        <v>400</v>
      </c>
    </row>
    <row r="23" spans="1:5" x14ac:dyDescent="0.25">
      <c r="B23" s="4">
        <v>19</v>
      </c>
      <c r="C23" s="6">
        <v>192</v>
      </c>
      <c r="D23" s="7">
        <f t="shared" si="1"/>
        <v>30</v>
      </c>
      <c r="E23" s="17">
        <f t="shared" si="0"/>
        <v>430</v>
      </c>
    </row>
    <row r="24" spans="1:5" x14ac:dyDescent="0.25">
      <c r="B24" s="4">
        <v>20</v>
      </c>
      <c r="C24" s="6">
        <v>195</v>
      </c>
      <c r="D24" s="7">
        <f t="shared" si="1"/>
        <v>30</v>
      </c>
      <c r="E24" s="17">
        <f t="shared" si="0"/>
        <v>460</v>
      </c>
    </row>
    <row r="25" spans="1:5" x14ac:dyDescent="0.25">
      <c r="B25" s="4">
        <v>21</v>
      </c>
      <c r="C25" s="6">
        <v>197</v>
      </c>
      <c r="D25" s="7">
        <f t="shared" si="1"/>
        <v>20</v>
      </c>
      <c r="E25" s="17">
        <f t="shared" si="0"/>
        <v>480</v>
      </c>
    </row>
    <row r="26" spans="1:5" x14ac:dyDescent="0.25">
      <c r="B26" s="4">
        <v>22</v>
      </c>
      <c r="C26" s="8">
        <v>199</v>
      </c>
      <c r="D26" s="7">
        <f t="shared" si="1"/>
        <v>20</v>
      </c>
      <c r="E26" s="17">
        <f t="shared" si="0"/>
        <v>500</v>
      </c>
    </row>
    <row r="27" spans="1:5" x14ac:dyDescent="0.25">
      <c r="A27" s="2" t="s">
        <v>5</v>
      </c>
      <c r="B27" s="4">
        <v>23</v>
      </c>
      <c r="C27" s="8">
        <v>199</v>
      </c>
      <c r="D27" s="7">
        <f t="shared" si="1"/>
        <v>0</v>
      </c>
      <c r="E27" s="17">
        <f t="shared" si="0"/>
        <v>500</v>
      </c>
    </row>
    <row r="28" spans="1:5" ht="12.75" customHeight="1" x14ac:dyDescent="0.25">
      <c r="B28" s="4">
        <v>24</v>
      </c>
      <c r="C28" s="8">
        <v>199</v>
      </c>
      <c r="D28" s="7">
        <f t="shared" si="1"/>
        <v>0</v>
      </c>
      <c r="E28" s="17">
        <f t="shared" si="0"/>
        <v>500</v>
      </c>
    </row>
    <row r="29" spans="1:5" ht="15.6" x14ac:dyDescent="0.25">
      <c r="B29" s="12" t="s">
        <v>6</v>
      </c>
      <c r="C29" s="9">
        <f>MAX(C5:C28)</f>
        <v>199</v>
      </c>
      <c r="D29" s="10">
        <f>MAX(D5:D28)</f>
        <v>50</v>
      </c>
      <c r="E29" s="10">
        <f>MAX(E5:E28)</f>
        <v>500</v>
      </c>
    </row>
    <row r="30" spans="1:5" ht="15.6" x14ac:dyDescent="0.25">
      <c r="B30" s="12" t="s">
        <v>7</v>
      </c>
      <c r="C30" s="9">
        <f>MIN(C5:C28)</f>
        <v>149</v>
      </c>
      <c r="D30" s="10">
        <f>MIN(D5:D28)</f>
        <v>0</v>
      </c>
      <c r="E30" s="10">
        <f>MIN(E5:E28)</f>
        <v>0</v>
      </c>
    </row>
    <row r="31" spans="1:5" ht="15.6" x14ac:dyDescent="0.25">
      <c r="B31" s="13" t="s">
        <v>8</v>
      </c>
      <c r="C31" s="9">
        <f>AVERAGE(C5:C28)</f>
        <v>173.58333333333334</v>
      </c>
      <c r="D31" s="10">
        <f>AVERAGE(D5:D28)</f>
        <v>20.833333333333332</v>
      </c>
      <c r="E31" s="10">
        <f>AVERAGE(E5:E28)</f>
        <v>245.83333333333334</v>
      </c>
    </row>
    <row r="32" spans="1:5" ht="15.75" customHeight="1" thickBot="1" x14ac:dyDescent="0.3">
      <c r="B32" s="14" t="s">
        <v>9</v>
      </c>
      <c r="C32" s="15">
        <f>SUM(C5:C28)</f>
        <v>4166</v>
      </c>
      <c r="D32" s="15">
        <f>SUM(D5:D28)</f>
        <v>500</v>
      </c>
      <c r="E32" s="15">
        <f>SUM(E5:E28)</f>
        <v>5900</v>
      </c>
    </row>
    <row r="33" spans="2:2" hidden="1" x14ac:dyDescent="0.25"/>
    <row r="34" spans="2:2" hidden="1" x14ac:dyDescent="0.25"/>
    <row r="35" spans="2:2" hidden="1" x14ac:dyDescent="0.25"/>
    <row r="36" spans="2:2" hidden="1" x14ac:dyDescent="0.25"/>
    <row r="37" spans="2:2" hidden="1" x14ac:dyDescent="0.25"/>
    <row r="38" spans="2:2" hidden="1" x14ac:dyDescent="0.25"/>
    <row r="41" spans="2:2" x14ac:dyDescent="0.25">
      <c r="B41" s="2" t="s">
        <v>10</v>
      </c>
    </row>
  </sheetData>
  <mergeCells count="2">
    <mergeCell ref="B1:E2"/>
    <mergeCell ref="C3:D3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B52FA-6099-4D47-B46D-EFE4DF3C24B5}">
  <sheetPr codeName="Hoja6">
    <tabColor rgb="FFFFFF00"/>
  </sheetPr>
  <dimension ref="A1:E41"/>
  <sheetViews>
    <sheetView zoomScale="120" zoomScaleNormal="120" workbookViewId="0">
      <selection activeCell="D5" sqref="D5"/>
    </sheetView>
  </sheetViews>
  <sheetFormatPr baseColWidth="10" defaultColWidth="11.44140625" defaultRowHeight="13.2" x14ac:dyDescent="0.25"/>
  <cols>
    <col min="1" max="1" width="1.6640625" style="2" customWidth="1"/>
    <col min="2" max="2" width="11.44140625" style="2" customWidth="1"/>
    <col min="3" max="3" width="11.6640625" style="2" customWidth="1"/>
    <col min="4" max="4" width="22" style="2" customWidth="1"/>
    <col min="5" max="5" width="28.5546875" style="2" customWidth="1"/>
    <col min="6" max="16384" width="11.44140625" style="2"/>
  </cols>
  <sheetData>
    <row r="1" spans="1:5" s="1" customFormat="1" ht="12.75" customHeight="1" x14ac:dyDescent="0.3">
      <c r="B1" s="31" t="s">
        <v>12</v>
      </c>
      <c r="C1" s="32"/>
      <c r="D1" s="32"/>
      <c r="E1" s="32"/>
    </row>
    <row r="2" spans="1:5" ht="25.5" customHeight="1" thickBot="1" x14ac:dyDescent="0.3">
      <c r="B2" s="33"/>
      <c r="C2" s="34"/>
      <c r="D2" s="34"/>
      <c r="E2" s="34"/>
    </row>
    <row r="3" spans="1:5" x14ac:dyDescent="0.25">
      <c r="B3" s="11" t="s">
        <v>0</v>
      </c>
      <c r="C3" s="26">
        <v>46143</v>
      </c>
      <c r="D3" s="26"/>
      <c r="E3" s="18"/>
    </row>
    <row r="4" spans="1:5" ht="18" customHeight="1" x14ac:dyDescent="0.25">
      <c r="A4" s="2">
        <v>0</v>
      </c>
      <c r="B4" s="23" t="s">
        <v>1</v>
      </c>
      <c r="C4" s="24" t="s">
        <v>2</v>
      </c>
      <c r="D4" s="24" t="s">
        <v>13</v>
      </c>
      <c r="E4" s="25" t="s">
        <v>11</v>
      </c>
    </row>
    <row r="5" spans="1:5" x14ac:dyDescent="0.25">
      <c r="B5" s="4">
        <v>1</v>
      </c>
      <c r="C5" s="6">
        <v>199</v>
      </c>
      <c r="D5" s="7">
        <f>C5-'1-MAYO-2026'!C28</f>
        <v>0</v>
      </c>
      <c r="E5" s="17">
        <f>+D5</f>
        <v>0</v>
      </c>
    </row>
    <row r="6" spans="1:5" ht="11.25" customHeight="1" x14ac:dyDescent="0.25">
      <c r="B6" s="4">
        <v>2</v>
      </c>
      <c r="C6" s="6">
        <v>199</v>
      </c>
      <c r="D6" s="7">
        <f>SUM(C6-C5)*10</f>
        <v>0</v>
      </c>
      <c r="E6" s="17">
        <f t="shared" ref="E6:E28" si="0">+D6+E5</f>
        <v>0</v>
      </c>
    </row>
    <row r="7" spans="1:5" ht="11.25" customHeight="1" x14ac:dyDescent="0.25">
      <c r="B7" s="4">
        <v>3</v>
      </c>
      <c r="C7" s="6">
        <v>199</v>
      </c>
      <c r="D7" s="7">
        <f t="shared" ref="D7:D28" si="1">SUM(C7-C6)*10</f>
        <v>0</v>
      </c>
      <c r="E7" s="17">
        <f t="shared" si="0"/>
        <v>0</v>
      </c>
    </row>
    <row r="8" spans="1:5" ht="12" customHeight="1" x14ac:dyDescent="0.25">
      <c r="B8" s="4">
        <v>4</v>
      </c>
      <c r="C8" s="6">
        <v>199</v>
      </c>
      <c r="D8" s="7">
        <f>SUM(C8-C7)*10</f>
        <v>0</v>
      </c>
      <c r="E8" s="17">
        <f t="shared" si="0"/>
        <v>0</v>
      </c>
    </row>
    <row r="9" spans="1:5" x14ac:dyDescent="0.25">
      <c r="A9" s="2">
        <v>0</v>
      </c>
      <c r="B9" s="4">
        <v>5</v>
      </c>
      <c r="C9" s="6">
        <v>201</v>
      </c>
      <c r="D9" s="7">
        <f t="shared" si="1"/>
        <v>20</v>
      </c>
      <c r="E9" s="17">
        <f t="shared" si="0"/>
        <v>20</v>
      </c>
    </row>
    <row r="10" spans="1:5" ht="15" customHeight="1" x14ac:dyDescent="0.25">
      <c r="A10" s="2" t="s">
        <v>3</v>
      </c>
      <c r="B10" s="4">
        <v>6</v>
      </c>
      <c r="C10" s="6">
        <v>203</v>
      </c>
      <c r="D10" s="7">
        <f t="shared" si="1"/>
        <v>20</v>
      </c>
      <c r="E10" s="17">
        <f t="shared" si="0"/>
        <v>40</v>
      </c>
    </row>
    <row r="11" spans="1:5" ht="12" customHeight="1" x14ac:dyDescent="0.25">
      <c r="B11" s="4">
        <v>7</v>
      </c>
      <c r="C11" s="6">
        <v>206</v>
      </c>
      <c r="D11" s="7">
        <f t="shared" si="1"/>
        <v>30</v>
      </c>
      <c r="E11" s="17">
        <f t="shared" si="0"/>
        <v>70</v>
      </c>
    </row>
    <row r="12" spans="1:5" ht="15.75" customHeight="1" x14ac:dyDescent="0.25">
      <c r="A12" s="2">
        <v>0</v>
      </c>
      <c r="B12" s="4">
        <v>8</v>
      </c>
      <c r="C12" s="6">
        <v>209</v>
      </c>
      <c r="D12" s="7">
        <f t="shared" si="1"/>
        <v>30</v>
      </c>
      <c r="E12" s="17">
        <f t="shared" si="0"/>
        <v>100</v>
      </c>
    </row>
    <row r="13" spans="1:5" ht="12" customHeight="1" x14ac:dyDescent="0.25">
      <c r="B13" s="4">
        <v>9</v>
      </c>
      <c r="C13" s="6">
        <v>213</v>
      </c>
      <c r="D13" s="7">
        <f t="shared" si="1"/>
        <v>40</v>
      </c>
      <c r="E13" s="17">
        <f t="shared" si="0"/>
        <v>140</v>
      </c>
    </row>
    <row r="14" spans="1:5" ht="14.25" customHeight="1" x14ac:dyDescent="0.25">
      <c r="B14" s="4">
        <v>10</v>
      </c>
      <c r="C14" s="6">
        <v>215</v>
      </c>
      <c r="D14" s="7">
        <f t="shared" si="1"/>
        <v>20</v>
      </c>
      <c r="E14" s="17">
        <f t="shared" si="0"/>
        <v>160</v>
      </c>
    </row>
    <row r="15" spans="1:5" x14ac:dyDescent="0.25">
      <c r="B15" s="4">
        <v>11</v>
      </c>
      <c r="C15" s="6">
        <v>217</v>
      </c>
      <c r="D15" s="7">
        <f t="shared" si="1"/>
        <v>20</v>
      </c>
      <c r="E15" s="17">
        <f t="shared" si="0"/>
        <v>180</v>
      </c>
    </row>
    <row r="16" spans="1:5" x14ac:dyDescent="0.25">
      <c r="A16" s="2">
        <v>0</v>
      </c>
      <c r="B16" s="4">
        <v>12</v>
      </c>
      <c r="C16" s="6">
        <v>219</v>
      </c>
      <c r="D16" s="7">
        <f t="shared" si="1"/>
        <v>20</v>
      </c>
      <c r="E16" s="17">
        <f t="shared" si="0"/>
        <v>200</v>
      </c>
    </row>
    <row r="17" spans="1:5" x14ac:dyDescent="0.25">
      <c r="B17" s="4">
        <v>13</v>
      </c>
      <c r="C17" s="6">
        <v>221</v>
      </c>
      <c r="D17" s="7">
        <f t="shared" si="1"/>
        <v>20</v>
      </c>
      <c r="E17" s="17">
        <f t="shared" si="0"/>
        <v>220</v>
      </c>
    </row>
    <row r="18" spans="1:5" ht="14.25" customHeight="1" x14ac:dyDescent="0.25">
      <c r="A18" s="3" t="s">
        <v>4</v>
      </c>
      <c r="B18" s="4">
        <v>14</v>
      </c>
      <c r="C18" s="6">
        <v>224</v>
      </c>
      <c r="D18" s="7">
        <f t="shared" si="1"/>
        <v>30</v>
      </c>
      <c r="E18" s="17">
        <f t="shared" si="0"/>
        <v>250</v>
      </c>
    </row>
    <row r="19" spans="1:5" x14ac:dyDescent="0.25">
      <c r="B19" s="4">
        <v>15</v>
      </c>
      <c r="C19" s="6">
        <v>227</v>
      </c>
      <c r="D19" s="7">
        <f t="shared" si="1"/>
        <v>30</v>
      </c>
      <c r="E19" s="17">
        <f t="shared" si="0"/>
        <v>280</v>
      </c>
    </row>
    <row r="20" spans="1:5" x14ac:dyDescent="0.25">
      <c r="A20" s="2">
        <v>0</v>
      </c>
      <c r="B20" s="4">
        <v>16</v>
      </c>
      <c r="C20" s="6">
        <v>229</v>
      </c>
      <c r="D20" s="7">
        <f t="shared" si="1"/>
        <v>20</v>
      </c>
      <c r="E20" s="17">
        <f t="shared" si="0"/>
        <v>300</v>
      </c>
    </row>
    <row r="21" spans="1:5" x14ac:dyDescent="0.25">
      <c r="B21" s="4">
        <v>17</v>
      </c>
      <c r="C21" s="6">
        <v>231</v>
      </c>
      <c r="D21" s="7">
        <f t="shared" si="1"/>
        <v>20</v>
      </c>
      <c r="E21" s="17">
        <f t="shared" si="0"/>
        <v>320</v>
      </c>
    </row>
    <row r="22" spans="1:5" x14ac:dyDescent="0.25">
      <c r="B22" s="4">
        <v>18</v>
      </c>
      <c r="C22" s="6">
        <v>233</v>
      </c>
      <c r="D22" s="7">
        <f t="shared" si="1"/>
        <v>20</v>
      </c>
      <c r="E22" s="17">
        <f t="shared" si="0"/>
        <v>340</v>
      </c>
    </row>
    <row r="23" spans="1:5" x14ac:dyDescent="0.25">
      <c r="B23" s="4">
        <v>19</v>
      </c>
      <c r="C23" s="6">
        <v>234</v>
      </c>
      <c r="D23" s="7">
        <f t="shared" si="1"/>
        <v>10</v>
      </c>
      <c r="E23" s="17">
        <f t="shared" si="0"/>
        <v>350</v>
      </c>
    </row>
    <row r="24" spans="1:5" x14ac:dyDescent="0.25">
      <c r="B24" s="4">
        <v>20</v>
      </c>
      <c r="C24" s="6">
        <v>236</v>
      </c>
      <c r="D24" s="7">
        <f t="shared" si="1"/>
        <v>20</v>
      </c>
      <c r="E24" s="17">
        <f t="shared" si="0"/>
        <v>370</v>
      </c>
    </row>
    <row r="25" spans="1:5" x14ac:dyDescent="0.25">
      <c r="B25" s="4">
        <v>21</v>
      </c>
      <c r="C25" s="6">
        <v>238</v>
      </c>
      <c r="D25" s="7">
        <f t="shared" si="1"/>
        <v>20</v>
      </c>
      <c r="E25" s="17">
        <f t="shared" si="0"/>
        <v>390</v>
      </c>
    </row>
    <row r="26" spans="1:5" x14ac:dyDescent="0.25">
      <c r="B26" s="4">
        <v>22</v>
      </c>
      <c r="C26" s="8">
        <v>240</v>
      </c>
      <c r="D26" s="7">
        <f t="shared" si="1"/>
        <v>20</v>
      </c>
      <c r="E26" s="17">
        <f t="shared" si="0"/>
        <v>410</v>
      </c>
    </row>
    <row r="27" spans="1:5" x14ac:dyDescent="0.25">
      <c r="A27" s="2" t="s">
        <v>5</v>
      </c>
      <c r="B27" s="4">
        <v>23</v>
      </c>
      <c r="C27" s="8">
        <v>240</v>
      </c>
      <c r="D27" s="7">
        <f t="shared" si="1"/>
        <v>0</v>
      </c>
      <c r="E27" s="17">
        <f t="shared" si="0"/>
        <v>410</v>
      </c>
    </row>
    <row r="28" spans="1:5" ht="12.75" customHeight="1" x14ac:dyDescent="0.25">
      <c r="B28" s="4">
        <v>24</v>
      </c>
      <c r="C28" s="8">
        <v>240</v>
      </c>
      <c r="D28" s="7">
        <f t="shared" si="1"/>
        <v>0</v>
      </c>
      <c r="E28" s="17">
        <f t="shared" si="0"/>
        <v>410</v>
      </c>
    </row>
    <row r="29" spans="1:5" ht="15.6" x14ac:dyDescent="0.25">
      <c r="B29" s="12" t="s">
        <v>6</v>
      </c>
      <c r="C29" s="9">
        <f>MAX(C5:C28)</f>
        <v>240</v>
      </c>
      <c r="D29" s="10">
        <f>MAX(D5:D28)</f>
        <v>40</v>
      </c>
      <c r="E29" s="10">
        <f>MAX(E5:E28)</f>
        <v>410</v>
      </c>
    </row>
    <row r="30" spans="1:5" ht="15.6" x14ac:dyDescent="0.25">
      <c r="B30" s="12" t="s">
        <v>7</v>
      </c>
      <c r="C30" s="9">
        <f>MIN(C5:C28)</f>
        <v>199</v>
      </c>
      <c r="D30" s="10">
        <f>MIN(D5:D28)</f>
        <v>0</v>
      </c>
      <c r="E30" s="10">
        <f>MIN(E5:E28)</f>
        <v>0</v>
      </c>
    </row>
    <row r="31" spans="1:5" ht="15.6" x14ac:dyDescent="0.25">
      <c r="B31" s="13" t="s">
        <v>8</v>
      </c>
      <c r="C31" s="9">
        <f>AVERAGE(C5:C28)</f>
        <v>219.66666666666666</v>
      </c>
      <c r="D31" s="10">
        <f>AVERAGE(D5:D28)</f>
        <v>17.083333333333332</v>
      </c>
      <c r="E31" s="10">
        <f>AVERAGE(E5:E28)</f>
        <v>206.66666666666666</v>
      </c>
    </row>
    <row r="32" spans="1:5" ht="15.75" customHeight="1" thickBot="1" x14ac:dyDescent="0.3">
      <c r="B32" s="14" t="s">
        <v>9</v>
      </c>
      <c r="C32" s="15">
        <f>SUM(C5:C28)</f>
        <v>5272</v>
      </c>
      <c r="D32" s="15">
        <f>SUM(D5:D28)</f>
        <v>410</v>
      </c>
      <c r="E32" s="15">
        <f>SUM(E5:E28)</f>
        <v>4960</v>
      </c>
    </row>
    <row r="33" spans="2:2" hidden="1" x14ac:dyDescent="0.25"/>
    <row r="34" spans="2:2" hidden="1" x14ac:dyDescent="0.25"/>
    <row r="35" spans="2:2" hidden="1" x14ac:dyDescent="0.25"/>
    <row r="36" spans="2:2" hidden="1" x14ac:dyDescent="0.25"/>
    <row r="37" spans="2:2" hidden="1" x14ac:dyDescent="0.25"/>
    <row r="38" spans="2:2" hidden="1" x14ac:dyDescent="0.25"/>
    <row r="41" spans="2:2" x14ac:dyDescent="0.25">
      <c r="B41" s="2" t="s">
        <v>10</v>
      </c>
    </row>
  </sheetData>
  <mergeCells count="2">
    <mergeCell ref="B1:E2"/>
    <mergeCell ref="C3:D3"/>
  </mergeCells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322F4-A6B3-45A1-821A-EBB36453F6BE}">
  <sheetPr codeName="Hoja7">
    <tabColor rgb="FFFFFF00"/>
  </sheetPr>
  <dimension ref="A1:E41"/>
  <sheetViews>
    <sheetView zoomScale="120" zoomScaleNormal="120" workbookViewId="0">
      <selection activeCell="D10" sqref="D10"/>
    </sheetView>
  </sheetViews>
  <sheetFormatPr baseColWidth="10" defaultColWidth="11.44140625" defaultRowHeight="13.2" x14ac:dyDescent="0.25"/>
  <cols>
    <col min="1" max="1" width="1.6640625" style="2" customWidth="1"/>
    <col min="2" max="2" width="11.44140625" style="2" customWidth="1"/>
    <col min="3" max="3" width="11.6640625" style="2" customWidth="1"/>
    <col min="4" max="4" width="22" style="2" customWidth="1"/>
    <col min="5" max="5" width="28.5546875" style="2" customWidth="1"/>
    <col min="6" max="16384" width="11.44140625" style="2"/>
  </cols>
  <sheetData>
    <row r="1" spans="1:5" s="1" customFormat="1" ht="12.75" customHeight="1" x14ac:dyDescent="0.3">
      <c r="B1" s="31" t="s">
        <v>12</v>
      </c>
      <c r="C1" s="32"/>
      <c r="D1" s="32"/>
      <c r="E1" s="32"/>
    </row>
    <row r="2" spans="1:5" ht="25.5" customHeight="1" thickBot="1" x14ac:dyDescent="0.3">
      <c r="B2" s="33"/>
      <c r="C2" s="34"/>
      <c r="D2" s="34"/>
      <c r="E2" s="34"/>
    </row>
    <row r="3" spans="1:5" x14ac:dyDescent="0.25">
      <c r="B3" s="11" t="s">
        <v>0</v>
      </c>
      <c r="C3" s="26">
        <v>46145</v>
      </c>
      <c r="D3" s="26"/>
      <c r="E3" s="18"/>
    </row>
    <row r="4" spans="1:5" ht="18" customHeight="1" x14ac:dyDescent="0.25">
      <c r="A4" s="2">
        <v>0</v>
      </c>
      <c r="B4" s="23" t="s">
        <v>1</v>
      </c>
      <c r="C4" s="24" t="s">
        <v>2</v>
      </c>
      <c r="D4" s="24" t="s">
        <v>13</v>
      </c>
      <c r="E4" s="25" t="s">
        <v>11</v>
      </c>
    </row>
    <row r="5" spans="1:5" x14ac:dyDescent="0.25">
      <c r="B5" s="4">
        <v>1</v>
      </c>
      <c r="C5" s="6">
        <v>240</v>
      </c>
      <c r="D5" s="7">
        <f>C5-'2-MAYO-2026'!C28</f>
        <v>0</v>
      </c>
      <c r="E5" s="17">
        <f>+D5</f>
        <v>0</v>
      </c>
    </row>
    <row r="6" spans="1:5" ht="11.25" customHeight="1" x14ac:dyDescent="0.25">
      <c r="B6" s="4">
        <v>2</v>
      </c>
      <c r="C6" s="6">
        <v>240</v>
      </c>
      <c r="D6" s="7">
        <f>SUM(C6-C5)*10</f>
        <v>0</v>
      </c>
      <c r="E6" s="17">
        <f t="shared" ref="E6:E28" si="0">+D6+E5</f>
        <v>0</v>
      </c>
    </row>
    <row r="7" spans="1:5" ht="11.25" customHeight="1" x14ac:dyDescent="0.25">
      <c r="B7" s="4">
        <v>3</v>
      </c>
      <c r="C7" s="6">
        <v>240</v>
      </c>
      <c r="D7" s="7">
        <f t="shared" ref="D7:D28" si="1">SUM(C7-C6)*10</f>
        <v>0</v>
      </c>
      <c r="E7" s="17">
        <f t="shared" si="0"/>
        <v>0</v>
      </c>
    </row>
    <row r="8" spans="1:5" ht="12" customHeight="1" x14ac:dyDescent="0.25">
      <c r="B8" s="4">
        <v>4</v>
      </c>
      <c r="C8" s="6">
        <v>240</v>
      </c>
      <c r="D8" s="7">
        <f>SUM(C8-C7)*10</f>
        <v>0</v>
      </c>
      <c r="E8" s="17">
        <f t="shared" si="0"/>
        <v>0</v>
      </c>
    </row>
    <row r="9" spans="1:5" x14ac:dyDescent="0.25">
      <c r="A9" s="2">
        <v>0</v>
      </c>
      <c r="B9" s="4">
        <v>5</v>
      </c>
      <c r="C9" s="6">
        <v>242</v>
      </c>
      <c r="D9" s="7">
        <f t="shared" si="1"/>
        <v>20</v>
      </c>
      <c r="E9" s="17">
        <f t="shared" si="0"/>
        <v>20</v>
      </c>
    </row>
    <row r="10" spans="1:5" ht="15" customHeight="1" x14ac:dyDescent="0.25">
      <c r="A10" s="2" t="s">
        <v>3</v>
      </c>
      <c r="B10" s="4">
        <v>6</v>
      </c>
      <c r="C10" s="6">
        <v>244</v>
      </c>
      <c r="D10" s="7">
        <f t="shared" si="1"/>
        <v>20</v>
      </c>
      <c r="E10" s="17">
        <f t="shared" si="0"/>
        <v>40</v>
      </c>
    </row>
    <row r="11" spans="1:5" ht="12" customHeight="1" x14ac:dyDescent="0.25">
      <c r="B11" s="4">
        <v>7</v>
      </c>
      <c r="C11" s="6">
        <v>246</v>
      </c>
      <c r="D11" s="7">
        <f t="shared" si="1"/>
        <v>20</v>
      </c>
      <c r="E11" s="17">
        <f t="shared" si="0"/>
        <v>60</v>
      </c>
    </row>
    <row r="12" spans="1:5" ht="15.75" customHeight="1" x14ac:dyDescent="0.25">
      <c r="A12" s="2">
        <v>0</v>
      </c>
      <c r="B12" s="4">
        <v>8</v>
      </c>
      <c r="C12" s="6">
        <v>248</v>
      </c>
      <c r="D12" s="7">
        <f t="shared" si="1"/>
        <v>20</v>
      </c>
      <c r="E12" s="17">
        <f t="shared" si="0"/>
        <v>80</v>
      </c>
    </row>
    <row r="13" spans="1:5" ht="12" customHeight="1" x14ac:dyDescent="0.25">
      <c r="B13" s="4">
        <v>9</v>
      </c>
      <c r="C13" s="6">
        <v>252</v>
      </c>
      <c r="D13" s="7">
        <f t="shared" si="1"/>
        <v>40</v>
      </c>
      <c r="E13" s="17">
        <f t="shared" si="0"/>
        <v>120</v>
      </c>
    </row>
    <row r="14" spans="1:5" ht="14.25" customHeight="1" x14ac:dyDescent="0.25">
      <c r="B14" s="4">
        <v>10</v>
      </c>
      <c r="C14" s="6">
        <v>257</v>
      </c>
      <c r="D14" s="7">
        <f t="shared" si="1"/>
        <v>50</v>
      </c>
      <c r="E14" s="17">
        <f t="shared" si="0"/>
        <v>170</v>
      </c>
    </row>
    <row r="15" spans="1:5" x14ac:dyDescent="0.25">
      <c r="B15" s="4">
        <v>11</v>
      </c>
      <c r="C15" s="6">
        <v>262</v>
      </c>
      <c r="D15" s="7">
        <f t="shared" si="1"/>
        <v>50</v>
      </c>
      <c r="E15" s="17">
        <f t="shared" si="0"/>
        <v>220</v>
      </c>
    </row>
    <row r="16" spans="1:5" x14ac:dyDescent="0.25">
      <c r="A16" s="2">
        <v>0</v>
      </c>
      <c r="B16" s="4">
        <v>12</v>
      </c>
      <c r="C16" s="6">
        <v>267</v>
      </c>
      <c r="D16" s="7">
        <f t="shared" si="1"/>
        <v>50</v>
      </c>
      <c r="E16" s="17">
        <f t="shared" si="0"/>
        <v>270</v>
      </c>
    </row>
    <row r="17" spans="1:5" x14ac:dyDescent="0.25">
      <c r="B17" s="4">
        <v>13</v>
      </c>
      <c r="C17" s="6">
        <v>270</v>
      </c>
      <c r="D17" s="7">
        <f t="shared" si="1"/>
        <v>30</v>
      </c>
      <c r="E17" s="17">
        <f t="shared" si="0"/>
        <v>300</v>
      </c>
    </row>
    <row r="18" spans="1:5" ht="14.25" customHeight="1" x14ac:dyDescent="0.25">
      <c r="A18" s="3" t="s">
        <v>4</v>
      </c>
      <c r="B18" s="4">
        <v>14</v>
      </c>
      <c r="C18" s="6">
        <v>272</v>
      </c>
      <c r="D18" s="7">
        <f t="shared" si="1"/>
        <v>20</v>
      </c>
      <c r="E18" s="17">
        <f t="shared" si="0"/>
        <v>320</v>
      </c>
    </row>
    <row r="19" spans="1:5" x14ac:dyDescent="0.25">
      <c r="B19" s="4">
        <v>15</v>
      </c>
      <c r="C19" s="6">
        <v>274</v>
      </c>
      <c r="D19" s="7">
        <f t="shared" si="1"/>
        <v>20</v>
      </c>
      <c r="E19" s="17">
        <f t="shared" si="0"/>
        <v>340</v>
      </c>
    </row>
    <row r="20" spans="1:5" x14ac:dyDescent="0.25">
      <c r="A20" s="2">
        <v>0</v>
      </c>
      <c r="B20" s="4">
        <v>16</v>
      </c>
      <c r="C20" s="6">
        <v>276</v>
      </c>
      <c r="D20" s="7">
        <f t="shared" si="1"/>
        <v>20</v>
      </c>
      <c r="E20" s="17">
        <f t="shared" si="0"/>
        <v>360</v>
      </c>
    </row>
    <row r="21" spans="1:5" x14ac:dyDescent="0.25">
      <c r="B21" s="4">
        <v>17</v>
      </c>
      <c r="C21" s="6">
        <v>278</v>
      </c>
      <c r="D21" s="7">
        <f t="shared" si="1"/>
        <v>20</v>
      </c>
      <c r="E21" s="17">
        <f t="shared" si="0"/>
        <v>380</v>
      </c>
    </row>
    <row r="22" spans="1:5" x14ac:dyDescent="0.25">
      <c r="B22" s="4">
        <v>18</v>
      </c>
      <c r="C22" s="6">
        <v>280</v>
      </c>
      <c r="D22" s="7">
        <f t="shared" si="1"/>
        <v>20</v>
      </c>
      <c r="E22" s="17">
        <f t="shared" si="0"/>
        <v>400</v>
      </c>
    </row>
    <row r="23" spans="1:5" x14ac:dyDescent="0.25">
      <c r="B23" s="4">
        <v>19</v>
      </c>
      <c r="C23" s="6">
        <v>282</v>
      </c>
      <c r="D23" s="7">
        <f t="shared" si="1"/>
        <v>20</v>
      </c>
      <c r="E23" s="17">
        <f t="shared" si="0"/>
        <v>420</v>
      </c>
    </row>
    <row r="24" spans="1:5" x14ac:dyDescent="0.25">
      <c r="B24" s="4">
        <v>20</v>
      </c>
      <c r="C24" s="6">
        <v>284</v>
      </c>
      <c r="D24" s="7">
        <f t="shared" si="1"/>
        <v>20</v>
      </c>
      <c r="E24" s="17">
        <f t="shared" si="0"/>
        <v>440</v>
      </c>
    </row>
    <row r="25" spans="1:5" x14ac:dyDescent="0.25">
      <c r="B25" s="4">
        <v>21</v>
      </c>
      <c r="C25" s="6">
        <v>286</v>
      </c>
      <c r="D25" s="7">
        <f t="shared" si="1"/>
        <v>20</v>
      </c>
      <c r="E25" s="17">
        <f t="shared" si="0"/>
        <v>460</v>
      </c>
    </row>
    <row r="26" spans="1:5" x14ac:dyDescent="0.25">
      <c r="B26" s="4">
        <v>22</v>
      </c>
      <c r="C26" s="8">
        <v>288</v>
      </c>
      <c r="D26" s="7">
        <f t="shared" si="1"/>
        <v>20</v>
      </c>
      <c r="E26" s="17">
        <f t="shared" si="0"/>
        <v>480</v>
      </c>
    </row>
    <row r="27" spans="1:5" x14ac:dyDescent="0.25">
      <c r="A27" s="2" t="s">
        <v>5</v>
      </c>
      <c r="B27" s="4">
        <v>23</v>
      </c>
      <c r="C27" s="8">
        <v>288</v>
      </c>
      <c r="D27" s="7">
        <f t="shared" si="1"/>
        <v>0</v>
      </c>
      <c r="E27" s="17">
        <f t="shared" si="0"/>
        <v>480</v>
      </c>
    </row>
    <row r="28" spans="1:5" ht="12.75" customHeight="1" x14ac:dyDescent="0.25">
      <c r="B28" s="4">
        <v>24</v>
      </c>
      <c r="C28" s="8">
        <v>288</v>
      </c>
      <c r="D28" s="7">
        <f t="shared" si="1"/>
        <v>0</v>
      </c>
      <c r="E28" s="17">
        <f t="shared" si="0"/>
        <v>480</v>
      </c>
    </row>
    <row r="29" spans="1:5" ht="15.6" x14ac:dyDescent="0.25">
      <c r="B29" s="12" t="s">
        <v>6</v>
      </c>
      <c r="C29" s="9">
        <f>MAX(C5:C28)</f>
        <v>288</v>
      </c>
      <c r="D29" s="10">
        <f>MAX(D5:D28)</f>
        <v>50</v>
      </c>
      <c r="E29" s="10">
        <f>MAX(E5:E28)</f>
        <v>480</v>
      </c>
    </row>
    <row r="30" spans="1:5" ht="15.6" x14ac:dyDescent="0.25">
      <c r="B30" s="12" t="s">
        <v>7</v>
      </c>
      <c r="C30" s="9">
        <f>MIN(C5:C28)</f>
        <v>240</v>
      </c>
      <c r="D30" s="10">
        <f>MIN(D5:D28)</f>
        <v>0</v>
      </c>
      <c r="E30" s="10">
        <f>MIN(E5:E28)</f>
        <v>0</v>
      </c>
    </row>
    <row r="31" spans="1:5" ht="15.6" x14ac:dyDescent="0.25">
      <c r="B31" s="13" t="s">
        <v>8</v>
      </c>
      <c r="C31" s="9">
        <f>AVERAGE(C5:C28)</f>
        <v>264.33333333333331</v>
      </c>
      <c r="D31" s="10">
        <f>AVERAGE(D5:D28)</f>
        <v>20</v>
      </c>
      <c r="E31" s="10">
        <f>AVERAGE(E5:E28)</f>
        <v>243.33333333333334</v>
      </c>
    </row>
    <row r="32" spans="1:5" ht="15.75" customHeight="1" thickBot="1" x14ac:dyDescent="0.3">
      <c r="B32" s="14" t="s">
        <v>9</v>
      </c>
      <c r="C32" s="15">
        <f>SUM(C5:C28)</f>
        <v>6344</v>
      </c>
      <c r="D32" s="15">
        <f>SUM(D5:D28)</f>
        <v>480</v>
      </c>
      <c r="E32" s="15">
        <f>SUM(E5:E28)</f>
        <v>5840</v>
      </c>
    </row>
    <row r="33" spans="2:2" hidden="1" x14ac:dyDescent="0.25"/>
    <row r="34" spans="2:2" hidden="1" x14ac:dyDescent="0.25"/>
    <row r="35" spans="2:2" hidden="1" x14ac:dyDescent="0.25"/>
    <row r="36" spans="2:2" hidden="1" x14ac:dyDescent="0.25"/>
    <row r="37" spans="2:2" hidden="1" x14ac:dyDescent="0.25"/>
    <row r="38" spans="2:2" hidden="1" x14ac:dyDescent="0.25"/>
    <row r="41" spans="2:2" x14ac:dyDescent="0.25">
      <c r="B41" s="2" t="s">
        <v>10</v>
      </c>
    </row>
  </sheetData>
  <mergeCells count="2">
    <mergeCell ref="B1:E2"/>
    <mergeCell ref="C3:D3"/>
  </mergeCells>
  <pageMargins left="0.7" right="0.7" top="0.75" bottom="0.75" header="0.3" footer="0.3"/>
  <pageSetup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2D58B-6569-477E-A2F8-EE39654ED6F4}">
  <sheetPr codeName="Hoja8">
    <tabColor rgb="FFFFFF00"/>
  </sheetPr>
  <dimension ref="A1:E41"/>
  <sheetViews>
    <sheetView topLeftCell="A4" zoomScale="120" zoomScaleNormal="120" workbookViewId="0">
      <selection activeCell="D6" sqref="D6"/>
    </sheetView>
  </sheetViews>
  <sheetFormatPr baseColWidth="10" defaultColWidth="11.44140625" defaultRowHeight="13.2" x14ac:dyDescent="0.25"/>
  <cols>
    <col min="1" max="1" width="1.6640625" style="2" customWidth="1"/>
    <col min="2" max="2" width="11.44140625" style="2" customWidth="1"/>
    <col min="3" max="3" width="11.6640625" style="2" customWidth="1"/>
    <col min="4" max="4" width="22" style="2" customWidth="1"/>
    <col min="5" max="5" width="28.5546875" style="2" customWidth="1"/>
    <col min="6" max="16384" width="11.44140625" style="2"/>
  </cols>
  <sheetData>
    <row r="1" spans="1:5" s="1" customFormat="1" ht="12.75" customHeight="1" x14ac:dyDescent="0.3">
      <c r="B1" s="31" t="s">
        <v>12</v>
      </c>
      <c r="C1" s="32"/>
      <c r="D1" s="32"/>
      <c r="E1" s="32"/>
    </row>
    <row r="2" spans="1:5" ht="25.5" customHeight="1" thickBot="1" x14ac:dyDescent="0.3">
      <c r="B2" s="33"/>
      <c r="C2" s="34"/>
      <c r="D2" s="34"/>
      <c r="E2" s="34"/>
    </row>
    <row r="3" spans="1:5" x14ac:dyDescent="0.25">
      <c r="B3" s="11" t="s">
        <v>0</v>
      </c>
      <c r="C3" s="26">
        <v>46146</v>
      </c>
      <c r="D3" s="26"/>
      <c r="E3" s="18"/>
    </row>
    <row r="4" spans="1:5" ht="18" customHeight="1" x14ac:dyDescent="0.25">
      <c r="A4" s="2">
        <v>0</v>
      </c>
      <c r="B4" s="23" t="s">
        <v>1</v>
      </c>
      <c r="C4" s="24" t="s">
        <v>2</v>
      </c>
      <c r="D4" s="24" t="s">
        <v>13</v>
      </c>
      <c r="E4" s="25" t="s">
        <v>11</v>
      </c>
    </row>
    <row r="5" spans="1:5" x14ac:dyDescent="0.25">
      <c r="B5" s="4">
        <v>1</v>
      </c>
      <c r="C5" s="6">
        <v>288</v>
      </c>
      <c r="D5" s="7">
        <f>C5-'3-MAYO-2026 '!C28</f>
        <v>0</v>
      </c>
      <c r="E5" s="17">
        <f>+D5</f>
        <v>0</v>
      </c>
    </row>
    <row r="6" spans="1:5" ht="11.25" customHeight="1" x14ac:dyDescent="0.25">
      <c r="B6" s="4">
        <v>2</v>
      </c>
      <c r="C6" s="6">
        <v>288</v>
      </c>
      <c r="D6" s="7">
        <f>SUM(C6-C5)*10</f>
        <v>0</v>
      </c>
      <c r="E6" s="17">
        <f t="shared" ref="E6:E28" si="0">+D6+E5</f>
        <v>0</v>
      </c>
    </row>
    <row r="7" spans="1:5" ht="11.25" customHeight="1" x14ac:dyDescent="0.25">
      <c r="B7" s="4">
        <v>3</v>
      </c>
      <c r="C7" s="6">
        <v>288</v>
      </c>
      <c r="D7" s="7">
        <f t="shared" ref="D7:D28" si="1">SUM(C7-C6)*10</f>
        <v>0</v>
      </c>
      <c r="E7" s="17">
        <f t="shared" si="0"/>
        <v>0</v>
      </c>
    </row>
    <row r="8" spans="1:5" ht="12" customHeight="1" x14ac:dyDescent="0.25">
      <c r="B8" s="4">
        <v>4</v>
      </c>
      <c r="C8" s="6">
        <v>288</v>
      </c>
      <c r="D8" s="7">
        <f>SUM(C8-C7)*10</f>
        <v>0</v>
      </c>
      <c r="E8" s="17">
        <f t="shared" si="0"/>
        <v>0</v>
      </c>
    </row>
    <row r="9" spans="1:5" x14ac:dyDescent="0.25">
      <c r="A9" s="2">
        <v>0</v>
      </c>
      <c r="B9" s="4">
        <v>5</v>
      </c>
      <c r="C9" s="6">
        <v>291</v>
      </c>
      <c r="D9" s="7">
        <f t="shared" si="1"/>
        <v>30</v>
      </c>
      <c r="E9" s="17">
        <f t="shared" si="0"/>
        <v>30</v>
      </c>
    </row>
    <row r="10" spans="1:5" ht="15" customHeight="1" x14ac:dyDescent="0.25">
      <c r="A10" s="2" t="s">
        <v>3</v>
      </c>
      <c r="B10" s="4">
        <v>6</v>
      </c>
      <c r="C10" s="6">
        <v>293</v>
      </c>
      <c r="D10" s="7">
        <f t="shared" si="1"/>
        <v>20</v>
      </c>
      <c r="E10" s="17">
        <f t="shared" si="0"/>
        <v>50</v>
      </c>
    </row>
    <row r="11" spans="1:5" ht="12" customHeight="1" x14ac:dyDescent="0.25">
      <c r="B11" s="4">
        <v>7</v>
      </c>
      <c r="C11" s="6">
        <v>297</v>
      </c>
      <c r="D11" s="7">
        <f t="shared" si="1"/>
        <v>40</v>
      </c>
      <c r="E11" s="17">
        <f t="shared" si="0"/>
        <v>90</v>
      </c>
    </row>
    <row r="12" spans="1:5" ht="15.75" customHeight="1" x14ac:dyDescent="0.25">
      <c r="A12" s="2">
        <v>0</v>
      </c>
      <c r="B12" s="4">
        <v>8</v>
      </c>
      <c r="C12" s="6">
        <v>299</v>
      </c>
      <c r="D12" s="7">
        <f t="shared" si="1"/>
        <v>20</v>
      </c>
      <c r="E12" s="17">
        <f t="shared" si="0"/>
        <v>110</v>
      </c>
    </row>
    <row r="13" spans="1:5" ht="12" customHeight="1" x14ac:dyDescent="0.25">
      <c r="B13" s="4">
        <v>9</v>
      </c>
      <c r="C13" s="6">
        <v>301</v>
      </c>
      <c r="D13" s="7">
        <f t="shared" si="1"/>
        <v>20</v>
      </c>
      <c r="E13" s="17">
        <f t="shared" si="0"/>
        <v>130</v>
      </c>
    </row>
    <row r="14" spans="1:5" ht="14.25" customHeight="1" x14ac:dyDescent="0.25">
      <c r="B14" s="4">
        <v>10</v>
      </c>
      <c r="C14" s="6">
        <v>304</v>
      </c>
      <c r="D14" s="7">
        <f t="shared" si="1"/>
        <v>30</v>
      </c>
      <c r="E14" s="17">
        <f t="shared" si="0"/>
        <v>160</v>
      </c>
    </row>
    <row r="15" spans="1:5" x14ac:dyDescent="0.25">
      <c r="B15" s="4">
        <v>11</v>
      </c>
      <c r="C15" s="6">
        <v>306</v>
      </c>
      <c r="D15" s="7">
        <f t="shared" si="1"/>
        <v>20</v>
      </c>
      <c r="E15" s="17">
        <f t="shared" si="0"/>
        <v>180</v>
      </c>
    </row>
    <row r="16" spans="1:5" x14ac:dyDescent="0.25">
      <c r="A16" s="2">
        <v>0</v>
      </c>
      <c r="B16" s="4">
        <v>12</v>
      </c>
      <c r="C16" s="6">
        <v>308</v>
      </c>
      <c r="D16" s="7">
        <f t="shared" si="1"/>
        <v>20</v>
      </c>
      <c r="E16" s="17">
        <f t="shared" si="0"/>
        <v>200</v>
      </c>
    </row>
    <row r="17" spans="1:5" x14ac:dyDescent="0.25">
      <c r="B17" s="4">
        <v>13</v>
      </c>
      <c r="C17" s="6">
        <v>310</v>
      </c>
      <c r="D17" s="7">
        <f t="shared" si="1"/>
        <v>20</v>
      </c>
      <c r="E17" s="17">
        <f t="shared" si="0"/>
        <v>220</v>
      </c>
    </row>
    <row r="18" spans="1:5" ht="14.25" customHeight="1" x14ac:dyDescent="0.25">
      <c r="A18" s="3" t="s">
        <v>4</v>
      </c>
      <c r="B18" s="4">
        <v>14</v>
      </c>
      <c r="C18" s="6">
        <v>312</v>
      </c>
      <c r="D18" s="7">
        <f t="shared" si="1"/>
        <v>20</v>
      </c>
      <c r="E18" s="17">
        <f t="shared" si="0"/>
        <v>240</v>
      </c>
    </row>
    <row r="19" spans="1:5" x14ac:dyDescent="0.25">
      <c r="B19" s="4">
        <v>15</v>
      </c>
      <c r="C19" s="6">
        <v>314</v>
      </c>
      <c r="D19" s="7">
        <f t="shared" si="1"/>
        <v>20</v>
      </c>
      <c r="E19" s="17">
        <f t="shared" si="0"/>
        <v>260</v>
      </c>
    </row>
    <row r="20" spans="1:5" x14ac:dyDescent="0.25">
      <c r="A20" s="2">
        <v>0</v>
      </c>
      <c r="B20" s="4">
        <v>16</v>
      </c>
      <c r="C20" s="6">
        <v>316</v>
      </c>
      <c r="D20" s="7">
        <f t="shared" si="1"/>
        <v>20</v>
      </c>
      <c r="E20" s="17">
        <f t="shared" si="0"/>
        <v>280</v>
      </c>
    </row>
    <row r="21" spans="1:5" x14ac:dyDescent="0.25">
      <c r="B21" s="4">
        <v>17</v>
      </c>
      <c r="C21" s="6">
        <v>317</v>
      </c>
      <c r="D21" s="7">
        <f t="shared" si="1"/>
        <v>10</v>
      </c>
      <c r="E21" s="17">
        <f t="shared" si="0"/>
        <v>290</v>
      </c>
    </row>
    <row r="22" spans="1:5" x14ac:dyDescent="0.25">
      <c r="B22" s="4">
        <v>18</v>
      </c>
      <c r="C22" s="6">
        <v>319</v>
      </c>
      <c r="D22" s="7">
        <f t="shared" si="1"/>
        <v>20</v>
      </c>
      <c r="E22" s="17">
        <f t="shared" si="0"/>
        <v>310</v>
      </c>
    </row>
    <row r="23" spans="1:5" x14ac:dyDescent="0.25">
      <c r="B23" s="4">
        <v>19</v>
      </c>
      <c r="C23" s="6">
        <v>321</v>
      </c>
      <c r="D23" s="7">
        <f t="shared" si="1"/>
        <v>20</v>
      </c>
      <c r="E23" s="17">
        <f t="shared" si="0"/>
        <v>330</v>
      </c>
    </row>
    <row r="24" spans="1:5" x14ac:dyDescent="0.25">
      <c r="B24" s="4">
        <v>20</v>
      </c>
      <c r="C24" s="6">
        <v>323</v>
      </c>
      <c r="D24" s="7">
        <f t="shared" si="1"/>
        <v>20</v>
      </c>
      <c r="E24" s="17">
        <f t="shared" si="0"/>
        <v>350</v>
      </c>
    </row>
    <row r="25" spans="1:5" x14ac:dyDescent="0.25">
      <c r="B25" s="4">
        <v>21</v>
      </c>
      <c r="C25" s="6">
        <v>325</v>
      </c>
      <c r="D25" s="7">
        <f t="shared" si="1"/>
        <v>20</v>
      </c>
      <c r="E25" s="17">
        <f t="shared" si="0"/>
        <v>370</v>
      </c>
    </row>
    <row r="26" spans="1:5" x14ac:dyDescent="0.25">
      <c r="B26" s="4">
        <v>22</v>
      </c>
      <c r="C26" s="8">
        <v>327</v>
      </c>
      <c r="D26" s="7">
        <f t="shared" si="1"/>
        <v>20</v>
      </c>
      <c r="E26" s="17">
        <f t="shared" si="0"/>
        <v>390</v>
      </c>
    </row>
    <row r="27" spans="1:5" x14ac:dyDescent="0.25">
      <c r="A27" s="2" t="s">
        <v>5</v>
      </c>
      <c r="B27" s="4">
        <v>23</v>
      </c>
      <c r="C27" s="8">
        <v>327</v>
      </c>
      <c r="D27" s="7">
        <f t="shared" si="1"/>
        <v>0</v>
      </c>
      <c r="E27" s="17">
        <f t="shared" si="0"/>
        <v>390</v>
      </c>
    </row>
    <row r="28" spans="1:5" ht="12.75" customHeight="1" x14ac:dyDescent="0.25">
      <c r="B28" s="4">
        <v>24</v>
      </c>
      <c r="C28" s="8">
        <v>327</v>
      </c>
      <c r="D28" s="7">
        <f t="shared" si="1"/>
        <v>0</v>
      </c>
      <c r="E28" s="17">
        <f t="shared" si="0"/>
        <v>390</v>
      </c>
    </row>
    <row r="29" spans="1:5" ht="15.6" x14ac:dyDescent="0.25">
      <c r="B29" s="12" t="s">
        <v>6</v>
      </c>
      <c r="C29" s="9">
        <f>MAX(C5:C28)</f>
        <v>327</v>
      </c>
      <c r="D29" s="10">
        <f>MAX(D5:D28)</f>
        <v>40</v>
      </c>
      <c r="E29" s="10">
        <f>MAX(E5:E28)</f>
        <v>390</v>
      </c>
    </row>
    <row r="30" spans="1:5" ht="15.6" x14ac:dyDescent="0.25">
      <c r="B30" s="12" t="s">
        <v>7</v>
      </c>
      <c r="C30" s="9">
        <f>MIN(C5:C28)</f>
        <v>288</v>
      </c>
      <c r="D30" s="10">
        <f>MIN(D5:D28)</f>
        <v>0</v>
      </c>
      <c r="E30" s="10">
        <f>MIN(E5:E28)</f>
        <v>0</v>
      </c>
    </row>
    <row r="31" spans="1:5" ht="15.6" x14ac:dyDescent="0.25">
      <c r="B31" s="13" t="s">
        <v>8</v>
      </c>
      <c r="C31" s="9">
        <f>AVERAGE(C5:C28)</f>
        <v>307.875</v>
      </c>
      <c r="D31" s="10">
        <f>AVERAGE(D5:D28)</f>
        <v>16.25</v>
      </c>
      <c r="E31" s="10">
        <f>AVERAGE(E5:E28)</f>
        <v>198.75</v>
      </c>
    </row>
    <row r="32" spans="1:5" ht="15.75" customHeight="1" thickBot="1" x14ac:dyDescent="0.3">
      <c r="B32" s="14" t="s">
        <v>9</v>
      </c>
      <c r="C32" s="15">
        <f>SUM(C5:C28)</f>
        <v>7389</v>
      </c>
      <c r="D32" s="15">
        <f>SUM(D5:D28)</f>
        <v>390</v>
      </c>
      <c r="E32" s="15">
        <f>SUM(E5:E28)</f>
        <v>4770</v>
      </c>
    </row>
    <row r="33" spans="2:2" hidden="1" x14ac:dyDescent="0.25"/>
    <row r="34" spans="2:2" hidden="1" x14ac:dyDescent="0.25"/>
    <row r="35" spans="2:2" hidden="1" x14ac:dyDescent="0.25"/>
    <row r="36" spans="2:2" hidden="1" x14ac:dyDescent="0.25"/>
    <row r="37" spans="2:2" hidden="1" x14ac:dyDescent="0.25"/>
    <row r="38" spans="2:2" hidden="1" x14ac:dyDescent="0.25"/>
    <row r="41" spans="2:2" x14ac:dyDescent="0.25">
      <c r="B41" s="2" t="s">
        <v>10</v>
      </c>
    </row>
  </sheetData>
  <mergeCells count="2">
    <mergeCell ref="B1:E2"/>
    <mergeCell ref="C3:D3"/>
  </mergeCells>
  <pageMargins left="0.7" right="0.7" top="0.75" bottom="0.75" header="0.3" footer="0.3"/>
  <pageSetup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DB085-BD44-4C63-B7C9-851B40E1AC2A}">
  <sheetPr codeName="Hoja9">
    <tabColor rgb="FFFFFF00"/>
  </sheetPr>
  <dimension ref="A1:N41"/>
  <sheetViews>
    <sheetView zoomScale="120" zoomScaleNormal="120" workbookViewId="0">
      <selection activeCell="D5" sqref="D5"/>
    </sheetView>
  </sheetViews>
  <sheetFormatPr baseColWidth="10" defaultColWidth="11.44140625" defaultRowHeight="13.2" x14ac:dyDescent="0.25"/>
  <cols>
    <col min="1" max="1" width="1.6640625" style="2" customWidth="1"/>
    <col min="2" max="2" width="11.44140625" style="2" customWidth="1"/>
    <col min="3" max="3" width="11.6640625" style="2" customWidth="1"/>
    <col min="4" max="4" width="22" style="2" customWidth="1"/>
    <col min="5" max="5" width="28.5546875" style="2" customWidth="1"/>
    <col min="6" max="16384" width="11.44140625" style="2"/>
  </cols>
  <sheetData>
    <row r="1" spans="1:5" s="1" customFormat="1" ht="12.75" customHeight="1" x14ac:dyDescent="0.3">
      <c r="B1" s="31" t="s">
        <v>12</v>
      </c>
      <c r="C1" s="32"/>
      <c r="D1" s="32"/>
      <c r="E1" s="32"/>
    </row>
    <row r="2" spans="1:5" ht="25.5" customHeight="1" thickBot="1" x14ac:dyDescent="0.3">
      <c r="B2" s="33"/>
      <c r="C2" s="34"/>
      <c r="D2" s="34"/>
      <c r="E2" s="34"/>
    </row>
    <row r="3" spans="1:5" x14ac:dyDescent="0.25">
      <c r="B3" s="11" t="s">
        <v>0</v>
      </c>
      <c r="C3" s="26">
        <v>46146</v>
      </c>
      <c r="D3" s="26"/>
      <c r="E3" s="18"/>
    </row>
    <row r="4" spans="1:5" ht="18" customHeight="1" x14ac:dyDescent="0.25">
      <c r="A4" s="2">
        <v>0</v>
      </c>
      <c r="B4" s="23" t="s">
        <v>1</v>
      </c>
      <c r="C4" s="24" t="s">
        <v>2</v>
      </c>
      <c r="D4" s="24" t="s">
        <v>13</v>
      </c>
      <c r="E4" s="25" t="s">
        <v>11</v>
      </c>
    </row>
    <row r="5" spans="1:5" x14ac:dyDescent="0.25">
      <c r="B5" s="4">
        <v>1</v>
      </c>
      <c r="C5" s="6">
        <v>327</v>
      </c>
      <c r="D5" s="7">
        <f>C5-'4-MAYO-2026  '!C28</f>
        <v>0</v>
      </c>
      <c r="E5" s="17">
        <f>+D5</f>
        <v>0</v>
      </c>
    </row>
    <row r="6" spans="1:5" ht="11.25" customHeight="1" x14ac:dyDescent="0.25">
      <c r="B6" s="4">
        <v>2</v>
      </c>
      <c r="C6" s="6">
        <v>327</v>
      </c>
      <c r="D6" s="7">
        <f>SUM(C6-C5)*10</f>
        <v>0</v>
      </c>
      <c r="E6" s="17">
        <f t="shared" ref="E6:E28" si="0">+D6+E5</f>
        <v>0</v>
      </c>
    </row>
    <row r="7" spans="1:5" ht="11.25" customHeight="1" x14ac:dyDescent="0.25">
      <c r="B7" s="4">
        <v>3</v>
      </c>
      <c r="C7" s="6">
        <v>327</v>
      </c>
      <c r="D7" s="7">
        <f t="shared" ref="D7:D28" si="1">SUM(C7-C6)*10</f>
        <v>0</v>
      </c>
      <c r="E7" s="17">
        <f t="shared" si="0"/>
        <v>0</v>
      </c>
    </row>
    <row r="8" spans="1:5" ht="12" customHeight="1" x14ac:dyDescent="0.25">
      <c r="B8" s="4">
        <v>4</v>
      </c>
      <c r="C8" s="6">
        <v>327</v>
      </c>
      <c r="D8" s="7">
        <f>SUM(C8-C7)*10</f>
        <v>0</v>
      </c>
      <c r="E8" s="17">
        <f>+D8+E7</f>
        <v>0</v>
      </c>
    </row>
    <row r="9" spans="1:5" x14ac:dyDescent="0.25">
      <c r="A9" s="2">
        <v>0</v>
      </c>
      <c r="B9" s="4">
        <v>5</v>
      </c>
      <c r="C9" s="6">
        <v>327</v>
      </c>
      <c r="D9" s="7">
        <f t="shared" si="1"/>
        <v>0</v>
      </c>
      <c r="E9" s="17">
        <f t="shared" si="0"/>
        <v>0</v>
      </c>
    </row>
    <row r="10" spans="1:5" ht="15" customHeight="1" x14ac:dyDescent="0.25">
      <c r="A10" s="2" t="s">
        <v>3</v>
      </c>
      <c r="B10" s="4">
        <v>6</v>
      </c>
      <c r="C10" s="6">
        <v>333</v>
      </c>
      <c r="D10" s="7">
        <f t="shared" si="1"/>
        <v>60</v>
      </c>
      <c r="E10" s="17">
        <f t="shared" si="0"/>
        <v>60</v>
      </c>
    </row>
    <row r="11" spans="1:5" ht="12" customHeight="1" x14ac:dyDescent="0.25">
      <c r="B11" s="4">
        <v>7</v>
      </c>
      <c r="C11" s="6">
        <v>336</v>
      </c>
      <c r="D11" s="7">
        <f t="shared" si="1"/>
        <v>30</v>
      </c>
      <c r="E11" s="17">
        <f t="shared" si="0"/>
        <v>90</v>
      </c>
    </row>
    <row r="12" spans="1:5" ht="15.75" customHeight="1" x14ac:dyDescent="0.25">
      <c r="A12" s="2">
        <v>0</v>
      </c>
      <c r="B12" s="4">
        <v>8</v>
      </c>
      <c r="C12" s="6">
        <v>339</v>
      </c>
      <c r="D12" s="7">
        <f t="shared" si="1"/>
        <v>30</v>
      </c>
      <c r="E12" s="17">
        <f t="shared" si="0"/>
        <v>120</v>
      </c>
    </row>
    <row r="13" spans="1:5" ht="12" customHeight="1" x14ac:dyDescent="0.25">
      <c r="B13" s="4">
        <v>9</v>
      </c>
      <c r="C13" s="6">
        <v>342</v>
      </c>
      <c r="D13" s="7">
        <f t="shared" si="1"/>
        <v>30</v>
      </c>
      <c r="E13" s="17">
        <f t="shared" si="0"/>
        <v>150</v>
      </c>
    </row>
    <row r="14" spans="1:5" ht="14.25" customHeight="1" x14ac:dyDescent="0.25">
      <c r="B14" s="4">
        <v>10</v>
      </c>
      <c r="C14" s="6">
        <v>344</v>
      </c>
      <c r="D14" s="7">
        <f t="shared" si="1"/>
        <v>20</v>
      </c>
      <c r="E14" s="17">
        <f t="shared" si="0"/>
        <v>170</v>
      </c>
    </row>
    <row r="15" spans="1:5" x14ac:dyDescent="0.25">
      <c r="B15" s="4">
        <v>11</v>
      </c>
      <c r="C15" s="6">
        <v>346</v>
      </c>
      <c r="D15" s="7">
        <f t="shared" si="1"/>
        <v>20</v>
      </c>
      <c r="E15" s="17">
        <f t="shared" si="0"/>
        <v>190</v>
      </c>
    </row>
    <row r="16" spans="1:5" x14ac:dyDescent="0.25">
      <c r="A16" s="2">
        <v>0</v>
      </c>
      <c r="B16" s="4">
        <v>12</v>
      </c>
      <c r="C16" s="6">
        <v>348</v>
      </c>
      <c r="D16" s="7">
        <f t="shared" si="1"/>
        <v>20</v>
      </c>
      <c r="E16" s="17">
        <f t="shared" si="0"/>
        <v>210</v>
      </c>
    </row>
    <row r="17" spans="1:14" x14ac:dyDescent="0.25">
      <c r="B17" s="4">
        <v>13</v>
      </c>
      <c r="C17" s="6">
        <v>350</v>
      </c>
      <c r="D17" s="7">
        <f t="shared" si="1"/>
        <v>20</v>
      </c>
      <c r="E17" s="17">
        <f t="shared" si="0"/>
        <v>230</v>
      </c>
    </row>
    <row r="18" spans="1:14" ht="14.25" customHeight="1" x14ac:dyDescent="0.25">
      <c r="A18" s="3" t="s">
        <v>4</v>
      </c>
      <c r="B18" s="4">
        <v>14</v>
      </c>
      <c r="C18" s="6">
        <v>352</v>
      </c>
      <c r="D18" s="7">
        <f t="shared" si="1"/>
        <v>20</v>
      </c>
      <c r="E18" s="17">
        <f t="shared" si="0"/>
        <v>250</v>
      </c>
    </row>
    <row r="19" spans="1:14" x14ac:dyDescent="0.25">
      <c r="B19" s="4">
        <v>15</v>
      </c>
      <c r="C19" s="6">
        <v>354</v>
      </c>
      <c r="D19" s="7">
        <f t="shared" si="1"/>
        <v>20</v>
      </c>
      <c r="E19" s="17">
        <f t="shared" si="0"/>
        <v>270</v>
      </c>
    </row>
    <row r="20" spans="1:14" x14ac:dyDescent="0.25">
      <c r="A20" s="2">
        <v>0</v>
      </c>
      <c r="B20" s="4">
        <v>16</v>
      </c>
      <c r="C20" s="6">
        <v>357</v>
      </c>
      <c r="D20" s="7">
        <f t="shared" si="1"/>
        <v>30</v>
      </c>
      <c r="E20" s="17">
        <f t="shared" si="0"/>
        <v>300</v>
      </c>
    </row>
    <row r="21" spans="1:14" x14ac:dyDescent="0.25">
      <c r="B21" s="4">
        <v>17</v>
      </c>
      <c r="C21" s="6">
        <v>360</v>
      </c>
      <c r="D21" s="7">
        <f t="shared" si="1"/>
        <v>30</v>
      </c>
      <c r="E21" s="17">
        <f t="shared" si="0"/>
        <v>330</v>
      </c>
      <c r="N21" s="2">
        <v>379</v>
      </c>
    </row>
    <row r="22" spans="1:14" x14ac:dyDescent="0.25">
      <c r="B22" s="4">
        <v>18</v>
      </c>
      <c r="C22" s="6">
        <v>363</v>
      </c>
      <c r="D22" s="7">
        <f t="shared" si="1"/>
        <v>30</v>
      </c>
      <c r="E22" s="17">
        <f t="shared" si="0"/>
        <v>360</v>
      </c>
      <c r="N22" s="2" t="s">
        <v>14</v>
      </c>
    </row>
    <row r="23" spans="1:14" x14ac:dyDescent="0.25">
      <c r="B23" s="4">
        <v>19</v>
      </c>
      <c r="C23" s="6">
        <v>365</v>
      </c>
      <c r="D23" s="7">
        <f t="shared" si="1"/>
        <v>20</v>
      </c>
      <c r="E23" s="17">
        <f t="shared" si="0"/>
        <v>380</v>
      </c>
    </row>
    <row r="24" spans="1:14" x14ac:dyDescent="0.25">
      <c r="B24" s="4">
        <v>20</v>
      </c>
      <c r="C24" s="6">
        <v>367</v>
      </c>
      <c r="D24" s="7">
        <f t="shared" si="1"/>
        <v>20</v>
      </c>
      <c r="E24" s="17">
        <f t="shared" si="0"/>
        <v>400</v>
      </c>
    </row>
    <row r="25" spans="1:14" x14ac:dyDescent="0.25">
      <c r="B25" s="4">
        <v>21</v>
      </c>
      <c r="C25" s="6">
        <v>369</v>
      </c>
      <c r="D25" s="7">
        <f t="shared" si="1"/>
        <v>20</v>
      </c>
      <c r="E25" s="17">
        <f t="shared" si="0"/>
        <v>420</v>
      </c>
    </row>
    <row r="26" spans="1:14" x14ac:dyDescent="0.25">
      <c r="B26" s="4">
        <v>22</v>
      </c>
      <c r="C26" s="8">
        <v>370</v>
      </c>
      <c r="D26" s="7">
        <f t="shared" si="1"/>
        <v>10</v>
      </c>
      <c r="E26" s="17">
        <f t="shared" si="0"/>
        <v>430</v>
      </c>
    </row>
    <row r="27" spans="1:14" x14ac:dyDescent="0.25">
      <c r="A27" s="2" t="s">
        <v>5</v>
      </c>
      <c r="B27" s="4">
        <v>23</v>
      </c>
      <c r="C27" s="8">
        <v>370</v>
      </c>
      <c r="D27" s="7">
        <f t="shared" si="1"/>
        <v>0</v>
      </c>
      <c r="E27" s="17">
        <f t="shared" si="0"/>
        <v>430</v>
      </c>
    </row>
    <row r="28" spans="1:14" ht="12.75" customHeight="1" x14ac:dyDescent="0.25">
      <c r="B28" s="4">
        <v>24</v>
      </c>
      <c r="C28" s="8">
        <v>370</v>
      </c>
      <c r="D28" s="7">
        <f t="shared" si="1"/>
        <v>0</v>
      </c>
      <c r="E28" s="17">
        <f t="shared" si="0"/>
        <v>430</v>
      </c>
    </row>
    <row r="29" spans="1:14" ht="15.6" x14ac:dyDescent="0.25">
      <c r="B29" s="12" t="s">
        <v>6</v>
      </c>
      <c r="C29" s="9">
        <f>MAX(C5:C28)</f>
        <v>370</v>
      </c>
      <c r="D29" s="10">
        <f>MAX(D5:D28)</f>
        <v>60</v>
      </c>
      <c r="E29" s="10">
        <f>MAX(E5:E28)</f>
        <v>430</v>
      </c>
    </row>
    <row r="30" spans="1:14" ht="15.6" x14ac:dyDescent="0.25">
      <c r="B30" s="12" t="s">
        <v>7</v>
      </c>
      <c r="C30" s="9">
        <f>MIN(C5:C28)</f>
        <v>327</v>
      </c>
      <c r="D30" s="10">
        <f>MIN(D5:D28)</f>
        <v>0</v>
      </c>
      <c r="E30" s="10">
        <f>MIN(E5:E28)</f>
        <v>0</v>
      </c>
    </row>
    <row r="31" spans="1:14" ht="15.6" x14ac:dyDescent="0.25">
      <c r="B31" s="13" t="s">
        <v>8</v>
      </c>
      <c r="C31" s="9">
        <f>AVERAGE(C5:C28)</f>
        <v>348.75</v>
      </c>
      <c r="D31" s="10">
        <f>AVERAGE(D5:D28)</f>
        <v>17.916666666666668</v>
      </c>
      <c r="E31" s="10">
        <f>AVERAGE(E5:E28)</f>
        <v>217.5</v>
      </c>
    </row>
    <row r="32" spans="1:14" ht="15.75" customHeight="1" thickBot="1" x14ac:dyDescent="0.3">
      <c r="B32" s="14" t="s">
        <v>9</v>
      </c>
      <c r="C32" s="15">
        <f>SUM(C5:C28)</f>
        <v>8370</v>
      </c>
      <c r="D32" s="15">
        <f>SUM(D5:D28)</f>
        <v>430</v>
      </c>
      <c r="E32" s="15">
        <f>SUM(E5:E28)</f>
        <v>5220</v>
      </c>
    </row>
    <row r="33" spans="2:2" hidden="1" x14ac:dyDescent="0.25"/>
    <row r="34" spans="2:2" hidden="1" x14ac:dyDescent="0.25"/>
    <row r="35" spans="2:2" hidden="1" x14ac:dyDescent="0.25"/>
    <row r="36" spans="2:2" hidden="1" x14ac:dyDescent="0.25"/>
    <row r="37" spans="2:2" hidden="1" x14ac:dyDescent="0.25"/>
    <row r="38" spans="2:2" hidden="1" x14ac:dyDescent="0.25"/>
    <row r="41" spans="2:2" x14ac:dyDescent="0.25">
      <c r="B41" s="2" t="s">
        <v>10</v>
      </c>
    </row>
  </sheetData>
  <mergeCells count="2">
    <mergeCell ref="B1:E2"/>
    <mergeCell ref="C3:D3"/>
  </mergeCells>
  <pageMargins left="0.7" right="0.7" top="0.75" bottom="0.75" header="0.3" footer="0.3"/>
  <pageSetup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333A2-604F-4344-946A-2BEA6E6CA8F5}">
  <sheetPr codeName="Hoja10">
    <tabColor rgb="FFFFFF00"/>
  </sheetPr>
  <dimension ref="A1:E41"/>
  <sheetViews>
    <sheetView topLeftCell="A4" zoomScale="120" zoomScaleNormal="120" workbookViewId="0">
      <selection activeCell="D6" sqref="D6"/>
    </sheetView>
  </sheetViews>
  <sheetFormatPr baseColWidth="10" defaultColWidth="11.44140625" defaultRowHeight="13.2" x14ac:dyDescent="0.25"/>
  <cols>
    <col min="1" max="1" width="1.6640625" style="2" customWidth="1"/>
    <col min="2" max="2" width="11.44140625" style="2" customWidth="1"/>
    <col min="3" max="3" width="11.6640625" style="2" customWidth="1"/>
    <col min="4" max="4" width="22" style="2" customWidth="1"/>
    <col min="5" max="5" width="28.5546875" style="2" customWidth="1"/>
    <col min="6" max="16384" width="11.44140625" style="2"/>
  </cols>
  <sheetData>
    <row r="1" spans="1:5" s="1" customFormat="1" ht="12.75" customHeight="1" x14ac:dyDescent="0.3">
      <c r="B1" s="31" t="s">
        <v>12</v>
      </c>
      <c r="C1" s="32"/>
      <c r="D1" s="32"/>
      <c r="E1" s="32"/>
    </row>
    <row r="2" spans="1:5" ht="25.5" customHeight="1" thickBot="1" x14ac:dyDescent="0.3">
      <c r="B2" s="33"/>
      <c r="C2" s="34"/>
      <c r="D2" s="34"/>
      <c r="E2" s="34"/>
    </row>
    <row r="3" spans="1:5" x14ac:dyDescent="0.25">
      <c r="B3" s="11" t="s">
        <v>0</v>
      </c>
      <c r="C3" s="26">
        <v>46146</v>
      </c>
      <c r="D3" s="26"/>
      <c r="E3" s="18"/>
    </row>
    <row r="4" spans="1:5" ht="18" customHeight="1" x14ac:dyDescent="0.25">
      <c r="A4" s="2">
        <v>0</v>
      </c>
      <c r="B4" s="23" t="s">
        <v>1</v>
      </c>
      <c r="C4" s="24" t="s">
        <v>2</v>
      </c>
      <c r="D4" s="24" t="s">
        <v>13</v>
      </c>
      <c r="E4" s="25" t="s">
        <v>11</v>
      </c>
    </row>
    <row r="5" spans="1:5" x14ac:dyDescent="0.25">
      <c r="B5" s="4">
        <v>1</v>
      </c>
      <c r="C5" s="6">
        <v>370</v>
      </c>
      <c r="D5" s="7">
        <f>C5-'5-MAYO-2026  '!C28</f>
        <v>0</v>
      </c>
      <c r="E5" s="17">
        <f>+D5</f>
        <v>0</v>
      </c>
    </row>
    <row r="6" spans="1:5" ht="11.25" customHeight="1" x14ac:dyDescent="0.25">
      <c r="B6" s="4">
        <v>2</v>
      </c>
      <c r="C6" s="6">
        <v>370</v>
      </c>
      <c r="D6" s="7">
        <f>SUM(C6-C5)*10</f>
        <v>0</v>
      </c>
      <c r="E6" s="17">
        <f t="shared" ref="E6:E28" si="0">+D6+E5</f>
        <v>0</v>
      </c>
    </row>
    <row r="7" spans="1:5" ht="11.25" customHeight="1" x14ac:dyDescent="0.25">
      <c r="B7" s="4">
        <v>3</v>
      </c>
      <c r="C7" s="6">
        <v>370</v>
      </c>
      <c r="D7" s="7">
        <f t="shared" ref="D7:D28" si="1">SUM(C7-C6)*10</f>
        <v>0</v>
      </c>
      <c r="E7" s="17">
        <f t="shared" si="0"/>
        <v>0</v>
      </c>
    </row>
    <row r="8" spans="1:5" ht="12" customHeight="1" x14ac:dyDescent="0.25">
      <c r="B8" s="4">
        <v>4</v>
      </c>
      <c r="C8" s="6">
        <v>370</v>
      </c>
      <c r="D8" s="7">
        <f>SUM(C8-C7)*10</f>
        <v>0</v>
      </c>
      <c r="E8" s="17">
        <f>+D8+E7</f>
        <v>0</v>
      </c>
    </row>
    <row r="9" spans="1:5" x14ac:dyDescent="0.25">
      <c r="A9" s="2">
        <v>0</v>
      </c>
      <c r="B9" s="4">
        <v>5</v>
      </c>
      <c r="C9" s="6">
        <v>372</v>
      </c>
      <c r="D9" s="7">
        <f t="shared" si="1"/>
        <v>20</v>
      </c>
      <c r="E9" s="17">
        <f t="shared" si="0"/>
        <v>20</v>
      </c>
    </row>
    <row r="10" spans="1:5" ht="15" customHeight="1" x14ac:dyDescent="0.25">
      <c r="A10" s="2" t="s">
        <v>3</v>
      </c>
      <c r="B10" s="4">
        <v>6</v>
      </c>
      <c r="C10" s="6">
        <v>376</v>
      </c>
      <c r="D10" s="7">
        <f t="shared" si="1"/>
        <v>40</v>
      </c>
      <c r="E10" s="17">
        <f t="shared" si="0"/>
        <v>60</v>
      </c>
    </row>
    <row r="11" spans="1:5" ht="12" customHeight="1" x14ac:dyDescent="0.25">
      <c r="B11" s="4">
        <v>7</v>
      </c>
      <c r="C11" s="6">
        <v>379</v>
      </c>
      <c r="D11" s="7">
        <f t="shared" si="1"/>
        <v>30</v>
      </c>
      <c r="E11" s="17">
        <f t="shared" si="0"/>
        <v>90</v>
      </c>
    </row>
    <row r="12" spans="1:5" ht="15.75" customHeight="1" x14ac:dyDescent="0.25">
      <c r="A12" s="2">
        <v>0</v>
      </c>
      <c r="B12" s="4">
        <v>8</v>
      </c>
      <c r="C12" s="6">
        <v>381</v>
      </c>
      <c r="D12" s="7">
        <f t="shared" si="1"/>
        <v>20</v>
      </c>
      <c r="E12" s="17">
        <f t="shared" si="0"/>
        <v>110</v>
      </c>
    </row>
    <row r="13" spans="1:5" ht="12" customHeight="1" x14ac:dyDescent="0.25">
      <c r="B13" s="4">
        <v>9</v>
      </c>
      <c r="C13" s="6">
        <v>384</v>
      </c>
      <c r="D13" s="7">
        <f t="shared" si="1"/>
        <v>30</v>
      </c>
      <c r="E13" s="17">
        <f t="shared" si="0"/>
        <v>140</v>
      </c>
    </row>
    <row r="14" spans="1:5" ht="14.25" customHeight="1" x14ac:dyDescent="0.25">
      <c r="B14" s="4">
        <v>10</v>
      </c>
      <c r="C14" s="6">
        <v>386</v>
      </c>
      <c r="D14" s="7">
        <f t="shared" si="1"/>
        <v>20</v>
      </c>
      <c r="E14" s="17">
        <f t="shared" si="0"/>
        <v>160</v>
      </c>
    </row>
    <row r="15" spans="1:5" x14ac:dyDescent="0.25">
      <c r="B15" s="4">
        <v>11</v>
      </c>
      <c r="C15" s="6">
        <v>388</v>
      </c>
      <c r="D15" s="7">
        <f t="shared" si="1"/>
        <v>20</v>
      </c>
      <c r="E15" s="17">
        <f t="shared" si="0"/>
        <v>180</v>
      </c>
    </row>
    <row r="16" spans="1:5" x14ac:dyDescent="0.25">
      <c r="A16" s="2">
        <v>0</v>
      </c>
      <c r="B16" s="4">
        <v>12</v>
      </c>
      <c r="C16" s="6">
        <v>391</v>
      </c>
      <c r="D16" s="7">
        <f t="shared" si="1"/>
        <v>30</v>
      </c>
      <c r="E16" s="17">
        <f t="shared" si="0"/>
        <v>210</v>
      </c>
    </row>
    <row r="17" spans="1:5" x14ac:dyDescent="0.25">
      <c r="B17" s="4">
        <v>13</v>
      </c>
      <c r="C17" s="6">
        <v>393</v>
      </c>
      <c r="D17" s="7">
        <f t="shared" si="1"/>
        <v>20</v>
      </c>
      <c r="E17" s="17">
        <f t="shared" si="0"/>
        <v>230</v>
      </c>
    </row>
    <row r="18" spans="1:5" ht="14.25" customHeight="1" x14ac:dyDescent="0.25">
      <c r="A18" s="3" t="s">
        <v>4</v>
      </c>
      <c r="B18" s="4">
        <v>14</v>
      </c>
      <c r="C18" s="6">
        <v>395</v>
      </c>
      <c r="D18" s="7">
        <f>SUM(C18-C17)*10</f>
        <v>20</v>
      </c>
      <c r="E18" s="17">
        <f t="shared" si="0"/>
        <v>250</v>
      </c>
    </row>
    <row r="19" spans="1:5" x14ac:dyDescent="0.25">
      <c r="B19" s="4">
        <v>15</v>
      </c>
      <c r="C19" s="6">
        <v>397</v>
      </c>
      <c r="D19" s="7">
        <f t="shared" si="1"/>
        <v>20</v>
      </c>
      <c r="E19" s="17">
        <f t="shared" si="0"/>
        <v>270</v>
      </c>
    </row>
    <row r="20" spans="1:5" x14ac:dyDescent="0.25">
      <c r="A20" s="2">
        <v>0</v>
      </c>
      <c r="B20" s="4">
        <v>16</v>
      </c>
      <c r="C20" s="6">
        <v>399</v>
      </c>
      <c r="D20" s="7">
        <f t="shared" si="1"/>
        <v>20</v>
      </c>
      <c r="E20" s="17">
        <f t="shared" si="0"/>
        <v>290</v>
      </c>
    </row>
    <row r="21" spans="1:5" x14ac:dyDescent="0.25">
      <c r="B21" s="4">
        <v>17</v>
      </c>
      <c r="C21" s="6">
        <v>401</v>
      </c>
      <c r="D21" s="7">
        <f t="shared" si="1"/>
        <v>20</v>
      </c>
      <c r="E21" s="17">
        <f t="shared" si="0"/>
        <v>310</v>
      </c>
    </row>
    <row r="22" spans="1:5" x14ac:dyDescent="0.25">
      <c r="B22" s="4">
        <v>18</v>
      </c>
      <c r="C22" s="6">
        <v>403</v>
      </c>
      <c r="D22" s="7">
        <f t="shared" si="1"/>
        <v>20</v>
      </c>
      <c r="E22" s="17">
        <f t="shared" si="0"/>
        <v>330</v>
      </c>
    </row>
    <row r="23" spans="1:5" x14ac:dyDescent="0.25">
      <c r="B23" s="4">
        <v>19</v>
      </c>
      <c r="C23" s="6">
        <v>405</v>
      </c>
      <c r="D23" s="7">
        <f t="shared" si="1"/>
        <v>20</v>
      </c>
      <c r="E23" s="17">
        <f t="shared" si="0"/>
        <v>350</v>
      </c>
    </row>
    <row r="24" spans="1:5" x14ac:dyDescent="0.25">
      <c r="B24" s="4">
        <v>20</v>
      </c>
      <c r="C24" s="6">
        <v>407</v>
      </c>
      <c r="D24" s="7">
        <f t="shared" si="1"/>
        <v>20</v>
      </c>
      <c r="E24" s="17">
        <f t="shared" si="0"/>
        <v>370</v>
      </c>
    </row>
    <row r="25" spans="1:5" x14ac:dyDescent="0.25">
      <c r="B25" s="4">
        <v>21</v>
      </c>
      <c r="C25" s="6">
        <v>410</v>
      </c>
      <c r="D25" s="7">
        <f t="shared" si="1"/>
        <v>30</v>
      </c>
      <c r="E25" s="17">
        <f t="shared" si="0"/>
        <v>400</v>
      </c>
    </row>
    <row r="26" spans="1:5" x14ac:dyDescent="0.25">
      <c r="B26" s="4">
        <v>22</v>
      </c>
      <c r="C26" s="8">
        <v>412</v>
      </c>
      <c r="D26" s="7">
        <f t="shared" si="1"/>
        <v>20</v>
      </c>
      <c r="E26" s="17">
        <f t="shared" si="0"/>
        <v>420</v>
      </c>
    </row>
    <row r="27" spans="1:5" x14ac:dyDescent="0.25">
      <c r="A27" s="2" t="s">
        <v>5</v>
      </c>
      <c r="B27" s="4">
        <v>23</v>
      </c>
      <c r="C27" s="8">
        <v>412</v>
      </c>
      <c r="D27" s="7">
        <f t="shared" si="1"/>
        <v>0</v>
      </c>
      <c r="E27" s="17">
        <f t="shared" si="0"/>
        <v>420</v>
      </c>
    </row>
    <row r="28" spans="1:5" ht="12.75" customHeight="1" x14ac:dyDescent="0.25">
      <c r="B28" s="4">
        <v>24</v>
      </c>
      <c r="C28" s="8">
        <v>412</v>
      </c>
      <c r="D28" s="7">
        <f t="shared" si="1"/>
        <v>0</v>
      </c>
      <c r="E28" s="17">
        <f t="shared" si="0"/>
        <v>420</v>
      </c>
    </row>
    <row r="29" spans="1:5" ht="15.6" x14ac:dyDescent="0.25">
      <c r="B29" s="12" t="s">
        <v>6</v>
      </c>
      <c r="C29" s="9">
        <f>MAX(C5:C28)</f>
        <v>412</v>
      </c>
      <c r="D29" s="10">
        <f>MAX(D5:D28)</f>
        <v>40</v>
      </c>
      <c r="E29" s="10">
        <f>MAX(E5:E28)</f>
        <v>420</v>
      </c>
    </row>
    <row r="30" spans="1:5" ht="15.6" x14ac:dyDescent="0.25">
      <c r="B30" s="12" t="s">
        <v>7</v>
      </c>
      <c r="C30" s="9">
        <f>MIN(C5:C28)</f>
        <v>370</v>
      </c>
      <c r="D30" s="10">
        <f>MIN(D5:D28)</f>
        <v>0</v>
      </c>
      <c r="E30" s="10">
        <f>MIN(E5:E28)</f>
        <v>0</v>
      </c>
    </row>
    <row r="31" spans="1:5" ht="15.6" x14ac:dyDescent="0.25">
      <c r="B31" s="13" t="s">
        <v>8</v>
      </c>
      <c r="C31" s="9">
        <f>AVERAGE(C5:C28)</f>
        <v>390.95833333333331</v>
      </c>
      <c r="D31" s="10">
        <f>AVERAGE(D5:D28)</f>
        <v>17.5</v>
      </c>
      <c r="E31" s="10">
        <f>AVERAGE(E5:E28)</f>
        <v>209.58333333333334</v>
      </c>
    </row>
    <row r="32" spans="1:5" ht="15.75" customHeight="1" thickBot="1" x14ac:dyDescent="0.3">
      <c r="B32" s="14" t="s">
        <v>9</v>
      </c>
      <c r="C32" s="15">
        <f>SUM(C5:C28)</f>
        <v>9383</v>
      </c>
      <c r="D32" s="15">
        <f>SUM(D5:D28)</f>
        <v>420</v>
      </c>
      <c r="E32" s="15">
        <f>SUM(E5:E28)</f>
        <v>5030</v>
      </c>
    </row>
    <row r="33" spans="2:2" hidden="1" x14ac:dyDescent="0.25"/>
    <row r="34" spans="2:2" hidden="1" x14ac:dyDescent="0.25"/>
    <row r="35" spans="2:2" hidden="1" x14ac:dyDescent="0.25"/>
    <row r="36" spans="2:2" hidden="1" x14ac:dyDescent="0.25"/>
    <row r="37" spans="2:2" hidden="1" x14ac:dyDescent="0.25"/>
    <row r="38" spans="2:2" hidden="1" x14ac:dyDescent="0.25"/>
    <row r="41" spans="2:2" x14ac:dyDescent="0.25">
      <c r="B41" s="2" t="s">
        <v>10</v>
      </c>
    </row>
  </sheetData>
  <mergeCells count="2">
    <mergeCell ref="B1:E2"/>
    <mergeCell ref="C3:D3"/>
  </mergeCells>
  <pageMargins left="0.7" right="0.7" top="0.75" bottom="0.75" header="0.3" footer="0.3"/>
  <pageSetup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4D8C3-27C0-4BC9-81A5-4996E2483C7C}">
  <sheetPr codeName="Hoja11">
    <tabColor rgb="FFFFFF00"/>
  </sheetPr>
  <dimension ref="A1:E41"/>
  <sheetViews>
    <sheetView topLeftCell="A4" zoomScale="120" zoomScaleNormal="120" workbookViewId="0">
      <selection activeCell="D6" sqref="D6"/>
    </sheetView>
  </sheetViews>
  <sheetFormatPr baseColWidth="10" defaultColWidth="11.44140625" defaultRowHeight="13.2" x14ac:dyDescent="0.25"/>
  <cols>
    <col min="1" max="1" width="1.6640625" style="2" customWidth="1"/>
    <col min="2" max="2" width="11.44140625" style="2" customWidth="1"/>
    <col min="3" max="3" width="11.6640625" style="2" customWidth="1"/>
    <col min="4" max="4" width="22" style="2" customWidth="1"/>
    <col min="5" max="5" width="28.5546875" style="2" customWidth="1"/>
    <col min="6" max="16384" width="11.44140625" style="2"/>
  </cols>
  <sheetData>
    <row r="1" spans="1:5" s="1" customFormat="1" ht="12.75" customHeight="1" x14ac:dyDescent="0.3">
      <c r="B1" s="31" t="s">
        <v>12</v>
      </c>
      <c r="C1" s="32"/>
      <c r="D1" s="32"/>
      <c r="E1" s="32"/>
    </row>
    <row r="2" spans="1:5" ht="25.5" customHeight="1" thickBot="1" x14ac:dyDescent="0.3">
      <c r="B2" s="33"/>
      <c r="C2" s="34"/>
      <c r="D2" s="34"/>
      <c r="E2" s="34"/>
    </row>
    <row r="3" spans="1:5" x14ac:dyDescent="0.25">
      <c r="B3" s="11" t="s">
        <v>0</v>
      </c>
      <c r="C3" s="26">
        <v>46146</v>
      </c>
      <c r="D3" s="26"/>
      <c r="E3" s="18"/>
    </row>
    <row r="4" spans="1:5" ht="18" customHeight="1" x14ac:dyDescent="0.25">
      <c r="A4" s="2">
        <v>0</v>
      </c>
      <c r="B4" s="23" t="s">
        <v>1</v>
      </c>
      <c r="C4" s="24" t="s">
        <v>2</v>
      </c>
      <c r="D4" s="24" t="s">
        <v>13</v>
      </c>
      <c r="E4" s="25" t="s">
        <v>11</v>
      </c>
    </row>
    <row r="5" spans="1:5" x14ac:dyDescent="0.25">
      <c r="B5" s="4">
        <v>1</v>
      </c>
      <c r="C5" s="6">
        <v>412</v>
      </c>
      <c r="D5" s="7">
        <f>C5-'6-MAYO-2026  '!C28</f>
        <v>0</v>
      </c>
      <c r="E5" s="17">
        <f>+D5</f>
        <v>0</v>
      </c>
    </row>
    <row r="6" spans="1:5" ht="11.25" customHeight="1" x14ac:dyDescent="0.25">
      <c r="B6" s="4">
        <v>2</v>
      </c>
      <c r="C6" s="6">
        <v>412</v>
      </c>
      <c r="D6" s="7">
        <f>SUM(C6-C5)*10</f>
        <v>0</v>
      </c>
      <c r="E6" s="17">
        <f t="shared" ref="E6:E28" si="0">+D6+E5</f>
        <v>0</v>
      </c>
    </row>
    <row r="7" spans="1:5" ht="11.25" customHeight="1" x14ac:dyDescent="0.25">
      <c r="B7" s="4">
        <v>3</v>
      </c>
      <c r="C7" s="6">
        <v>412</v>
      </c>
      <c r="D7" s="7">
        <f t="shared" ref="D7:D28" si="1">SUM(C7-C6)*10</f>
        <v>0</v>
      </c>
      <c r="E7" s="17">
        <f t="shared" si="0"/>
        <v>0</v>
      </c>
    </row>
    <row r="8" spans="1:5" ht="12" customHeight="1" x14ac:dyDescent="0.25">
      <c r="B8" s="4">
        <v>4</v>
      </c>
      <c r="C8" s="6">
        <v>412</v>
      </c>
      <c r="D8" s="7">
        <f>SUM(C8-C7)*10</f>
        <v>0</v>
      </c>
      <c r="E8" s="17">
        <f>+D8+E7</f>
        <v>0</v>
      </c>
    </row>
    <row r="9" spans="1:5" x14ac:dyDescent="0.25">
      <c r="A9" s="2">
        <v>0</v>
      </c>
      <c r="B9" s="4">
        <v>5</v>
      </c>
      <c r="C9" s="6">
        <v>415</v>
      </c>
      <c r="D9" s="7">
        <f t="shared" si="1"/>
        <v>30</v>
      </c>
      <c r="E9" s="17">
        <f t="shared" si="0"/>
        <v>30</v>
      </c>
    </row>
    <row r="10" spans="1:5" ht="15" customHeight="1" x14ac:dyDescent="0.25">
      <c r="A10" s="2" t="s">
        <v>3</v>
      </c>
      <c r="B10" s="4">
        <v>6</v>
      </c>
      <c r="C10" s="6">
        <v>417</v>
      </c>
      <c r="D10" s="7">
        <f t="shared" si="1"/>
        <v>20</v>
      </c>
      <c r="E10" s="17">
        <f t="shared" si="0"/>
        <v>50</v>
      </c>
    </row>
    <row r="11" spans="1:5" ht="12" customHeight="1" x14ac:dyDescent="0.25">
      <c r="B11" s="4">
        <v>7</v>
      </c>
      <c r="C11" s="6">
        <v>419</v>
      </c>
      <c r="D11" s="7">
        <f t="shared" si="1"/>
        <v>20</v>
      </c>
      <c r="E11" s="17">
        <f t="shared" si="0"/>
        <v>70</v>
      </c>
    </row>
    <row r="12" spans="1:5" ht="15.75" customHeight="1" x14ac:dyDescent="0.25">
      <c r="A12" s="2">
        <v>0</v>
      </c>
      <c r="B12" s="4">
        <v>8</v>
      </c>
      <c r="C12" s="6">
        <v>422</v>
      </c>
      <c r="D12" s="7">
        <f t="shared" si="1"/>
        <v>30</v>
      </c>
      <c r="E12" s="17">
        <f t="shared" si="0"/>
        <v>100</v>
      </c>
    </row>
    <row r="13" spans="1:5" ht="12" customHeight="1" x14ac:dyDescent="0.25">
      <c r="B13" s="4">
        <v>9</v>
      </c>
      <c r="C13" s="6">
        <v>425</v>
      </c>
      <c r="D13" s="7">
        <f t="shared" si="1"/>
        <v>30</v>
      </c>
      <c r="E13" s="17">
        <f t="shared" si="0"/>
        <v>130</v>
      </c>
    </row>
    <row r="14" spans="1:5" ht="14.25" customHeight="1" x14ac:dyDescent="0.25">
      <c r="B14" s="4">
        <v>10</v>
      </c>
      <c r="C14" s="6">
        <v>428</v>
      </c>
      <c r="D14" s="7">
        <f t="shared" si="1"/>
        <v>30</v>
      </c>
      <c r="E14" s="17">
        <f t="shared" si="0"/>
        <v>160</v>
      </c>
    </row>
    <row r="15" spans="1:5" x14ac:dyDescent="0.25">
      <c r="B15" s="4">
        <v>11</v>
      </c>
      <c r="C15" s="6">
        <v>431</v>
      </c>
      <c r="D15" s="7">
        <f t="shared" si="1"/>
        <v>30</v>
      </c>
      <c r="E15" s="17">
        <f t="shared" si="0"/>
        <v>190</v>
      </c>
    </row>
    <row r="16" spans="1:5" x14ac:dyDescent="0.25">
      <c r="A16" s="2">
        <v>0</v>
      </c>
      <c r="B16" s="4">
        <v>12</v>
      </c>
      <c r="C16" s="6">
        <v>433</v>
      </c>
      <c r="D16" s="7">
        <f t="shared" si="1"/>
        <v>20</v>
      </c>
      <c r="E16" s="17">
        <f t="shared" si="0"/>
        <v>210</v>
      </c>
    </row>
    <row r="17" spans="1:5" x14ac:dyDescent="0.25">
      <c r="B17" s="4">
        <v>13</v>
      </c>
      <c r="C17" s="6">
        <v>435</v>
      </c>
      <c r="D17" s="7">
        <f t="shared" si="1"/>
        <v>20</v>
      </c>
      <c r="E17" s="17">
        <f t="shared" si="0"/>
        <v>230</v>
      </c>
    </row>
    <row r="18" spans="1:5" ht="14.25" customHeight="1" x14ac:dyDescent="0.25">
      <c r="A18" s="3" t="s">
        <v>4</v>
      </c>
      <c r="B18" s="4">
        <v>14</v>
      </c>
      <c r="C18" s="6">
        <v>437</v>
      </c>
      <c r="D18" s="7">
        <f t="shared" si="1"/>
        <v>20</v>
      </c>
      <c r="E18" s="17">
        <f t="shared" si="0"/>
        <v>250</v>
      </c>
    </row>
    <row r="19" spans="1:5" x14ac:dyDescent="0.25">
      <c r="B19" s="4">
        <v>15</v>
      </c>
      <c r="C19" s="6">
        <v>439</v>
      </c>
      <c r="D19" s="7">
        <f t="shared" si="1"/>
        <v>20</v>
      </c>
      <c r="E19" s="17">
        <f t="shared" si="0"/>
        <v>270</v>
      </c>
    </row>
    <row r="20" spans="1:5" x14ac:dyDescent="0.25">
      <c r="A20" s="2">
        <v>0</v>
      </c>
      <c r="B20" s="4">
        <v>16</v>
      </c>
      <c r="C20" s="6">
        <v>440</v>
      </c>
      <c r="D20" s="7">
        <f t="shared" si="1"/>
        <v>10</v>
      </c>
      <c r="E20" s="17">
        <f t="shared" si="0"/>
        <v>280</v>
      </c>
    </row>
    <row r="21" spans="1:5" x14ac:dyDescent="0.25">
      <c r="B21" s="4">
        <v>17</v>
      </c>
      <c r="C21" s="6">
        <v>441</v>
      </c>
      <c r="D21" s="7">
        <f t="shared" si="1"/>
        <v>10</v>
      </c>
      <c r="E21" s="17">
        <f t="shared" si="0"/>
        <v>290</v>
      </c>
    </row>
    <row r="22" spans="1:5" x14ac:dyDescent="0.25">
      <c r="B22" s="4">
        <v>18</v>
      </c>
      <c r="C22" s="6">
        <v>443</v>
      </c>
      <c r="D22" s="7">
        <f t="shared" si="1"/>
        <v>20</v>
      </c>
      <c r="E22" s="17">
        <f t="shared" si="0"/>
        <v>310</v>
      </c>
    </row>
    <row r="23" spans="1:5" x14ac:dyDescent="0.25">
      <c r="B23" s="4">
        <v>19</v>
      </c>
      <c r="C23" s="6">
        <v>445</v>
      </c>
      <c r="D23" s="7">
        <f t="shared" si="1"/>
        <v>20</v>
      </c>
      <c r="E23" s="17">
        <f t="shared" si="0"/>
        <v>330</v>
      </c>
    </row>
    <row r="24" spans="1:5" x14ac:dyDescent="0.25">
      <c r="B24" s="4">
        <v>20</v>
      </c>
      <c r="C24" s="6">
        <v>447</v>
      </c>
      <c r="D24" s="7">
        <f t="shared" si="1"/>
        <v>20</v>
      </c>
      <c r="E24" s="17">
        <f t="shared" si="0"/>
        <v>350</v>
      </c>
    </row>
    <row r="25" spans="1:5" x14ac:dyDescent="0.25">
      <c r="B25" s="4">
        <v>21</v>
      </c>
      <c r="C25" s="6">
        <v>449</v>
      </c>
      <c r="D25" s="7">
        <f t="shared" si="1"/>
        <v>20</v>
      </c>
      <c r="E25" s="17">
        <f t="shared" si="0"/>
        <v>370</v>
      </c>
    </row>
    <row r="26" spans="1:5" x14ac:dyDescent="0.25">
      <c r="B26" s="4">
        <v>22</v>
      </c>
      <c r="C26" s="8">
        <v>451</v>
      </c>
      <c r="D26" s="7">
        <f t="shared" si="1"/>
        <v>20</v>
      </c>
      <c r="E26" s="17">
        <f t="shared" si="0"/>
        <v>390</v>
      </c>
    </row>
    <row r="27" spans="1:5" x14ac:dyDescent="0.25">
      <c r="A27" s="2" t="s">
        <v>5</v>
      </c>
      <c r="B27" s="4">
        <v>23</v>
      </c>
      <c r="C27" s="8">
        <v>451</v>
      </c>
      <c r="D27" s="7">
        <f t="shared" si="1"/>
        <v>0</v>
      </c>
      <c r="E27" s="17">
        <f t="shared" si="0"/>
        <v>390</v>
      </c>
    </row>
    <row r="28" spans="1:5" ht="12.75" customHeight="1" x14ac:dyDescent="0.25">
      <c r="B28" s="4">
        <v>24</v>
      </c>
      <c r="C28" s="8">
        <v>451</v>
      </c>
      <c r="D28" s="7">
        <f t="shared" si="1"/>
        <v>0</v>
      </c>
      <c r="E28" s="17">
        <f t="shared" si="0"/>
        <v>390</v>
      </c>
    </row>
    <row r="29" spans="1:5" ht="15.6" x14ac:dyDescent="0.25">
      <c r="B29" s="12" t="s">
        <v>6</v>
      </c>
      <c r="C29" s="9">
        <f>MAX(C5:C28)</f>
        <v>451</v>
      </c>
      <c r="D29" s="10">
        <f>MAX(D5:D28)</f>
        <v>30</v>
      </c>
      <c r="E29" s="10">
        <f>MAX(E5:E28)</f>
        <v>390</v>
      </c>
    </row>
    <row r="30" spans="1:5" ht="15.6" x14ac:dyDescent="0.25">
      <c r="B30" s="12" t="s">
        <v>7</v>
      </c>
      <c r="C30" s="9">
        <f>MIN(C5:C28)</f>
        <v>412</v>
      </c>
      <c r="D30" s="10">
        <f>MIN(D5:D28)</f>
        <v>0</v>
      </c>
      <c r="E30" s="10">
        <f>MIN(E5:E28)</f>
        <v>0</v>
      </c>
    </row>
    <row r="31" spans="1:5" ht="15.6" x14ac:dyDescent="0.25">
      <c r="B31" s="13" t="s">
        <v>8</v>
      </c>
      <c r="C31" s="9">
        <f>AVERAGE(C5:C28)</f>
        <v>431.95833333333331</v>
      </c>
      <c r="D31" s="10">
        <f>AVERAGE(D5:D28)</f>
        <v>16.25</v>
      </c>
      <c r="E31" s="10">
        <f>AVERAGE(E5:E28)</f>
        <v>199.58333333333334</v>
      </c>
    </row>
    <row r="32" spans="1:5" ht="15.75" customHeight="1" thickBot="1" x14ac:dyDescent="0.3">
      <c r="B32" s="14" t="s">
        <v>9</v>
      </c>
      <c r="C32" s="15">
        <f>SUM(C5:C28)</f>
        <v>10367</v>
      </c>
      <c r="D32" s="15">
        <f>SUM(D5:D28)</f>
        <v>390</v>
      </c>
      <c r="E32" s="15">
        <f>SUM(E5:E28)</f>
        <v>4790</v>
      </c>
    </row>
    <row r="33" spans="2:2" hidden="1" x14ac:dyDescent="0.25"/>
    <row r="34" spans="2:2" hidden="1" x14ac:dyDescent="0.25"/>
    <row r="35" spans="2:2" hidden="1" x14ac:dyDescent="0.25"/>
    <row r="36" spans="2:2" hidden="1" x14ac:dyDescent="0.25"/>
    <row r="37" spans="2:2" hidden="1" x14ac:dyDescent="0.25"/>
    <row r="38" spans="2:2" hidden="1" x14ac:dyDescent="0.25"/>
    <row r="41" spans="2:2" x14ac:dyDescent="0.25">
      <c r="B41" s="2" t="s">
        <v>10</v>
      </c>
    </row>
  </sheetData>
  <mergeCells count="2">
    <mergeCell ref="B1:E2"/>
    <mergeCell ref="C3:D3"/>
  </mergeCells>
  <pageMargins left="0.7" right="0.7" top="0.75" bottom="0.75" header="0.3" footer="0.3"/>
  <pageSetup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9ED01-6749-4853-B964-5CBC7F24C120}">
  <sheetPr codeName="Hoja12">
    <tabColor rgb="FFFFFF00"/>
  </sheetPr>
  <dimension ref="A1:E41"/>
  <sheetViews>
    <sheetView topLeftCell="A2" zoomScale="120" zoomScaleNormal="120" workbookViewId="0">
      <selection activeCell="D6" sqref="D6"/>
    </sheetView>
  </sheetViews>
  <sheetFormatPr baseColWidth="10" defaultColWidth="11.44140625" defaultRowHeight="13.2" x14ac:dyDescent="0.25"/>
  <cols>
    <col min="1" max="1" width="1.6640625" style="2" customWidth="1"/>
    <col min="2" max="2" width="11.44140625" style="2" customWidth="1"/>
    <col min="3" max="3" width="11.6640625" style="2" customWidth="1"/>
    <col min="4" max="4" width="22" style="2" customWidth="1"/>
    <col min="5" max="5" width="28.5546875" style="2" customWidth="1"/>
    <col min="6" max="16384" width="11.44140625" style="2"/>
  </cols>
  <sheetData>
    <row r="1" spans="1:5" s="1" customFormat="1" ht="12.75" customHeight="1" x14ac:dyDescent="0.3">
      <c r="B1" s="31" t="s">
        <v>12</v>
      </c>
      <c r="C1" s="32"/>
      <c r="D1" s="32"/>
      <c r="E1" s="32"/>
    </row>
    <row r="2" spans="1:5" ht="25.5" customHeight="1" thickBot="1" x14ac:dyDescent="0.3">
      <c r="B2" s="33"/>
      <c r="C2" s="34"/>
      <c r="D2" s="34"/>
      <c r="E2" s="34"/>
    </row>
    <row r="3" spans="1:5" x14ac:dyDescent="0.25">
      <c r="B3" s="11" t="s">
        <v>0</v>
      </c>
      <c r="C3" s="26">
        <v>46146</v>
      </c>
      <c r="D3" s="26"/>
      <c r="E3" s="18"/>
    </row>
    <row r="4" spans="1:5" ht="18" customHeight="1" x14ac:dyDescent="0.25">
      <c r="A4" s="2">
        <v>0</v>
      </c>
      <c r="B4" s="23" t="s">
        <v>1</v>
      </c>
      <c r="C4" s="24" t="s">
        <v>2</v>
      </c>
      <c r="D4" s="24" t="s">
        <v>13</v>
      </c>
      <c r="E4" s="25" t="s">
        <v>11</v>
      </c>
    </row>
    <row r="5" spans="1:5" x14ac:dyDescent="0.25">
      <c r="B5" s="4">
        <v>1</v>
      </c>
      <c r="C5" s="6">
        <v>451</v>
      </c>
      <c r="D5" s="7">
        <f>C5-'7-MAYO-2026'!C28</f>
        <v>0</v>
      </c>
      <c r="E5" s="17">
        <f>+D5</f>
        <v>0</v>
      </c>
    </row>
    <row r="6" spans="1:5" ht="11.25" customHeight="1" x14ac:dyDescent="0.25">
      <c r="B6" s="4">
        <v>2</v>
      </c>
      <c r="C6" s="6">
        <v>451</v>
      </c>
      <c r="D6" s="7">
        <f>SUM(C6-C5)*10</f>
        <v>0</v>
      </c>
      <c r="E6" s="17">
        <f t="shared" ref="E6:E28" si="0">+D6+E5</f>
        <v>0</v>
      </c>
    </row>
    <row r="7" spans="1:5" ht="11.25" customHeight="1" x14ac:dyDescent="0.25">
      <c r="B7" s="4">
        <v>3</v>
      </c>
      <c r="C7" s="6">
        <v>451</v>
      </c>
      <c r="D7" s="7">
        <f t="shared" ref="D7:D28" si="1">SUM(C7-C6)*10</f>
        <v>0</v>
      </c>
      <c r="E7" s="17">
        <f t="shared" si="0"/>
        <v>0</v>
      </c>
    </row>
    <row r="8" spans="1:5" ht="12" customHeight="1" x14ac:dyDescent="0.25">
      <c r="B8" s="4">
        <v>4</v>
      </c>
      <c r="C8" s="6">
        <v>451</v>
      </c>
      <c r="D8" s="7">
        <f>SUM(C8-C7)*10</f>
        <v>0</v>
      </c>
      <c r="E8" s="17">
        <f>+D8+E7</f>
        <v>0</v>
      </c>
    </row>
    <row r="9" spans="1:5" x14ac:dyDescent="0.25">
      <c r="A9" s="2">
        <v>0</v>
      </c>
      <c r="B9" s="4">
        <v>5</v>
      </c>
      <c r="C9" s="6">
        <v>453</v>
      </c>
      <c r="D9" s="7">
        <f t="shared" si="1"/>
        <v>20</v>
      </c>
      <c r="E9" s="17">
        <f t="shared" si="0"/>
        <v>20</v>
      </c>
    </row>
    <row r="10" spans="1:5" ht="15" customHeight="1" x14ac:dyDescent="0.25">
      <c r="A10" s="2" t="s">
        <v>3</v>
      </c>
      <c r="B10" s="4">
        <v>6</v>
      </c>
      <c r="C10" s="6">
        <v>456</v>
      </c>
      <c r="D10" s="7">
        <f t="shared" si="1"/>
        <v>30</v>
      </c>
      <c r="E10" s="17">
        <f t="shared" si="0"/>
        <v>50</v>
      </c>
    </row>
    <row r="11" spans="1:5" ht="12" customHeight="1" x14ac:dyDescent="0.25">
      <c r="B11" s="4">
        <v>7</v>
      </c>
      <c r="C11" s="6">
        <v>459</v>
      </c>
      <c r="D11" s="7">
        <f t="shared" si="1"/>
        <v>30</v>
      </c>
      <c r="E11" s="17">
        <f t="shared" si="0"/>
        <v>80</v>
      </c>
    </row>
    <row r="12" spans="1:5" ht="15.75" customHeight="1" x14ac:dyDescent="0.25">
      <c r="A12" s="2">
        <v>0</v>
      </c>
      <c r="B12" s="4">
        <v>8</v>
      </c>
      <c r="C12" s="6">
        <v>462</v>
      </c>
      <c r="D12" s="7">
        <f t="shared" si="1"/>
        <v>30</v>
      </c>
      <c r="E12" s="17">
        <f t="shared" si="0"/>
        <v>110</v>
      </c>
    </row>
    <row r="13" spans="1:5" ht="12" customHeight="1" x14ac:dyDescent="0.25">
      <c r="B13" s="4">
        <v>9</v>
      </c>
      <c r="C13" s="6">
        <v>465</v>
      </c>
      <c r="D13" s="7">
        <f t="shared" si="1"/>
        <v>30</v>
      </c>
      <c r="E13" s="17">
        <f t="shared" si="0"/>
        <v>140</v>
      </c>
    </row>
    <row r="14" spans="1:5" ht="14.25" customHeight="1" x14ac:dyDescent="0.25">
      <c r="B14" s="4">
        <v>10</v>
      </c>
      <c r="C14" s="6">
        <v>468</v>
      </c>
      <c r="D14" s="7">
        <f t="shared" si="1"/>
        <v>30</v>
      </c>
      <c r="E14" s="17">
        <f t="shared" si="0"/>
        <v>170</v>
      </c>
    </row>
    <row r="15" spans="1:5" x14ac:dyDescent="0.25">
      <c r="B15" s="4">
        <v>11</v>
      </c>
      <c r="C15" s="6">
        <v>471</v>
      </c>
      <c r="D15" s="7">
        <f t="shared" si="1"/>
        <v>30</v>
      </c>
      <c r="E15" s="17">
        <f t="shared" si="0"/>
        <v>200</v>
      </c>
    </row>
    <row r="16" spans="1:5" x14ac:dyDescent="0.25">
      <c r="A16" s="2">
        <v>0</v>
      </c>
      <c r="B16" s="4">
        <v>12</v>
      </c>
      <c r="C16" s="6">
        <v>475</v>
      </c>
      <c r="D16" s="7">
        <f t="shared" si="1"/>
        <v>40</v>
      </c>
      <c r="E16" s="17">
        <f t="shared" si="0"/>
        <v>240</v>
      </c>
    </row>
    <row r="17" spans="1:5" x14ac:dyDescent="0.25">
      <c r="B17" s="4">
        <v>13</v>
      </c>
      <c r="C17" s="6">
        <v>477</v>
      </c>
      <c r="D17" s="7">
        <f t="shared" si="1"/>
        <v>20</v>
      </c>
      <c r="E17" s="17">
        <f t="shared" si="0"/>
        <v>260</v>
      </c>
    </row>
    <row r="18" spans="1:5" ht="14.25" customHeight="1" x14ac:dyDescent="0.25">
      <c r="A18" s="3" t="s">
        <v>4</v>
      </c>
      <c r="B18" s="4">
        <v>14</v>
      </c>
      <c r="C18" s="6">
        <v>479</v>
      </c>
      <c r="D18" s="7">
        <f t="shared" si="1"/>
        <v>20</v>
      </c>
      <c r="E18" s="17">
        <f t="shared" si="0"/>
        <v>280</v>
      </c>
    </row>
    <row r="19" spans="1:5" x14ac:dyDescent="0.25">
      <c r="B19" s="4">
        <v>15</v>
      </c>
      <c r="C19" s="6">
        <v>481</v>
      </c>
      <c r="D19" s="7">
        <f t="shared" si="1"/>
        <v>20</v>
      </c>
      <c r="E19" s="17">
        <f t="shared" si="0"/>
        <v>300</v>
      </c>
    </row>
    <row r="20" spans="1:5" x14ac:dyDescent="0.25">
      <c r="A20" s="2">
        <v>0</v>
      </c>
      <c r="B20" s="4">
        <v>16</v>
      </c>
      <c r="C20" s="6">
        <v>483</v>
      </c>
      <c r="D20" s="7">
        <f t="shared" si="1"/>
        <v>20</v>
      </c>
      <c r="E20" s="17">
        <f t="shared" si="0"/>
        <v>320</v>
      </c>
    </row>
    <row r="21" spans="1:5" x14ac:dyDescent="0.25">
      <c r="B21" s="4">
        <v>17</v>
      </c>
      <c r="C21" s="6">
        <v>485</v>
      </c>
      <c r="D21" s="7">
        <f t="shared" si="1"/>
        <v>20</v>
      </c>
      <c r="E21" s="17">
        <f t="shared" si="0"/>
        <v>340</v>
      </c>
    </row>
    <row r="22" spans="1:5" x14ac:dyDescent="0.25">
      <c r="B22" s="4">
        <v>18</v>
      </c>
      <c r="C22" s="6">
        <v>487</v>
      </c>
      <c r="D22" s="7">
        <f t="shared" si="1"/>
        <v>20</v>
      </c>
      <c r="E22" s="17">
        <f t="shared" si="0"/>
        <v>360</v>
      </c>
    </row>
    <row r="23" spans="1:5" x14ac:dyDescent="0.25">
      <c r="B23" s="4">
        <v>19</v>
      </c>
      <c r="C23" s="6">
        <v>488</v>
      </c>
      <c r="D23" s="7">
        <f t="shared" si="1"/>
        <v>10</v>
      </c>
      <c r="E23" s="17">
        <f t="shared" si="0"/>
        <v>370</v>
      </c>
    </row>
    <row r="24" spans="1:5" x14ac:dyDescent="0.25">
      <c r="B24" s="4">
        <v>20</v>
      </c>
      <c r="C24" s="6">
        <v>490</v>
      </c>
      <c r="D24" s="7">
        <f t="shared" si="1"/>
        <v>20</v>
      </c>
      <c r="E24" s="17">
        <f t="shared" si="0"/>
        <v>390</v>
      </c>
    </row>
    <row r="25" spans="1:5" x14ac:dyDescent="0.25">
      <c r="B25" s="4">
        <v>21</v>
      </c>
      <c r="C25" s="6">
        <v>492</v>
      </c>
      <c r="D25" s="7">
        <f t="shared" si="1"/>
        <v>20</v>
      </c>
      <c r="E25" s="17">
        <f t="shared" si="0"/>
        <v>410</v>
      </c>
    </row>
    <row r="26" spans="1:5" x14ac:dyDescent="0.25">
      <c r="B26" s="4">
        <v>22</v>
      </c>
      <c r="C26" s="8">
        <v>495</v>
      </c>
      <c r="D26" s="7">
        <f t="shared" si="1"/>
        <v>30</v>
      </c>
      <c r="E26" s="17">
        <f t="shared" si="0"/>
        <v>440</v>
      </c>
    </row>
    <row r="27" spans="1:5" x14ac:dyDescent="0.25">
      <c r="A27" s="2" t="s">
        <v>5</v>
      </c>
      <c r="B27" s="4">
        <v>23</v>
      </c>
      <c r="C27" s="8">
        <v>495</v>
      </c>
      <c r="D27" s="7">
        <f t="shared" si="1"/>
        <v>0</v>
      </c>
      <c r="E27" s="17">
        <f t="shared" si="0"/>
        <v>440</v>
      </c>
    </row>
    <row r="28" spans="1:5" ht="12.75" customHeight="1" x14ac:dyDescent="0.25">
      <c r="B28" s="4">
        <v>24</v>
      </c>
      <c r="C28" s="8">
        <v>495</v>
      </c>
      <c r="D28" s="7">
        <f t="shared" si="1"/>
        <v>0</v>
      </c>
      <c r="E28" s="17">
        <f t="shared" si="0"/>
        <v>440</v>
      </c>
    </row>
    <row r="29" spans="1:5" ht="15.6" x14ac:dyDescent="0.25">
      <c r="B29" s="12" t="s">
        <v>6</v>
      </c>
      <c r="C29" s="9">
        <f>MAX(C5:C28)</f>
        <v>495</v>
      </c>
      <c r="D29" s="10">
        <f>MAX(D5:D28)</f>
        <v>40</v>
      </c>
      <c r="E29" s="10">
        <f>MAX(E5:E28)</f>
        <v>440</v>
      </c>
    </row>
    <row r="30" spans="1:5" ht="15.6" x14ac:dyDescent="0.25">
      <c r="B30" s="12" t="s">
        <v>7</v>
      </c>
      <c r="C30" s="9">
        <f>MIN(C5:C28)</f>
        <v>451</v>
      </c>
      <c r="D30" s="10">
        <f>MIN(D5:D28)</f>
        <v>0</v>
      </c>
      <c r="E30" s="10">
        <f>MIN(E5:E28)</f>
        <v>0</v>
      </c>
    </row>
    <row r="31" spans="1:5" ht="15.6" x14ac:dyDescent="0.25">
      <c r="B31" s="13" t="s">
        <v>8</v>
      </c>
      <c r="C31" s="9">
        <f>AVERAGE(C5:C28)</f>
        <v>473.33333333333331</v>
      </c>
      <c r="D31" s="10">
        <f>AVERAGE(D5:D28)</f>
        <v>18.333333333333332</v>
      </c>
      <c r="E31" s="10">
        <f>AVERAGE(E5:E28)</f>
        <v>223.33333333333334</v>
      </c>
    </row>
    <row r="32" spans="1:5" ht="15.75" customHeight="1" thickBot="1" x14ac:dyDescent="0.3">
      <c r="B32" s="14" t="s">
        <v>9</v>
      </c>
      <c r="C32" s="15">
        <f>SUM(C5:C28)</f>
        <v>11360</v>
      </c>
      <c r="D32" s="15">
        <f>SUM(D5:D28)</f>
        <v>440</v>
      </c>
      <c r="E32" s="15">
        <f>SUM(E5:E28)</f>
        <v>5360</v>
      </c>
    </row>
    <row r="33" spans="2:2" hidden="1" x14ac:dyDescent="0.25"/>
    <row r="34" spans="2:2" hidden="1" x14ac:dyDescent="0.25"/>
    <row r="35" spans="2:2" hidden="1" x14ac:dyDescent="0.25"/>
    <row r="36" spans="2:2" hidden="1" x14ac:dyDescent="0.25"/>
    <row r="37" spans="2:2" hidden="1" x14ac:dyDescent="0.25"/>
    <row r="38" spans="2:2" hidden="1" x14ac:dyDescent="0.25"/>
    <row r="41" spans="2:2" x14ac:dyDescent="0.25">
      <c r="B41" s="2" t="s">
        <v>10</v>
      </c>
    </row>
  </sheetData>
  <mergeCells count="2">
    <mergeCell ref="B1:E2"/>
    <mergeCell ref="C3:D3"/>
  </mergeCells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8A73E-39C9-4431-80C8-F1E8BF10BBC6}">
  <sheetPr codeName="Hoja13">
    <tabColor rgb="FFFFFF00"/>
  </sheetPr>
  <dimension ref="A1:E41"/>
  <sheetViews>
    <sheetView topLeftCell="A4" zoomScale="120" zoomScaleNormal="120" workbookViewId="0">
      <selection activeCell="D23" sqref="D23"/>
    </sheetView>
  </sheetViews>
  <sheetFormatPr baseColWidth="10" defaultColWidth="11.44140625" defaultRowHeight="13.2" x14ac:dyDescent="0.25"/>
  <cols>
    <col min="1" max="1" width="1.6640625" style="2" customWidth="1"/>
    <col min="2" max="2" width="11.44140625" style="2" customWidth="1"/>
    <col min="3" max="3" width="11.6640625" style="2" customWidth="1"/>
    <col min="4" max="4" width="22" style="2" customWidth="1"/>
    <col min="5" max="5" width="28.5546875" style="2" customWidth="1"/>
    <col min="6" max="16384" width="11.44140625" style="2"/>
  </cols>
  <sheetData>
    <row r="1" spans="1:5" s="1" customFormat="1" ht="12.75" customHeight="1" x14ac:dyDescent="0.3">
      <c r="B1" s="31" t="s">
        <v>12</v>
      </c>
      <c r="C1" s="32"/>
      <c r="D1" s="32"/>
      <c r="E1" s="32"/>
    </row>
    <row r="2" spans="1:5" ht="25.5" customHeight="1" thickBot="1" x14ac:dyDescent="0.3">
      <c r="B2" s="33"/>
      <c r="C2" s="34"/>
      <c r="D2" s="34"/>
      <c r="E2" s="34"/>
    </row>
    <row r="3" spans="1:5" x14ac:dyDescent="0.25">
      <c r="B3" s="11" t="s">
        <v>0</v>
      </c>
      <c r="C3" s="26">
        <v>46146</v>
      </c>
      <c r="D3" s="26"/>
      <c r="E3" s="18"/>
    </row>
    <row r="4" spans="1:5" ht="18" customHeight="1" x14ac:dyDescent="0.25">
      <c r="A4" s="2">
        <v>0</v>
      </c>
      <c r="B4" s="23" t="s">
        <v>1</v>
      </c>
      <c r="C4" s="24" t="s">
        <v>2</v>
      </c>
      <c r="D4" s="24" t="s">
        <v>13</v>
      </c>
      <c r="E4" s="25" t="s">
        <v>11</v>
      </c>
    </row>
    <row r="5" spans="1:5" x14ac:dyDescent="0.25">
      <c r="B5" s="4">
        <v>1</v>
      </c>
      <c r="C5" s="6">
        <v>495</v>
      </c>
      <c r="D5" s="7">
        <f>C5-'8-MAYO-2026'!C28</f>
        <v>0</v>
      </c>
      <c r="E5" s="17">
        <f>+D5</f>
        <v>0</v>
      </c>
    </row>
    <row r="6" spans="1:5" ht="11.25" customHeight="1" x14ac:dyDescent="0.25">
      <c r="B6" s="4">
        <v>2</v>
      </c>
      <c r="C6" s="6">
        <v>495</v>
      </c>
      <c r="D6" s="7">
        <f>SUM(C6-C5)*10</f>
        <v>0</v>
      </c>
      <c r="E6" s="17">
        <f t="shared" ref="E6:E28" si="0">+D6+E5</f>
        <v>0</v>
      </c>
    </row>
    <row r="7" spans="1:5" ht="11.25" customHeight="1" x14ac:dyDescent="0.25">
      <c r="B7" s="4">
        <v>3</v>
      </c>
      <c r="C7" s="6">
        <v>495</v>
      </c>
      <c r="D7" s="7">
        <f t="shared" ref="D7:D28" si="1">SUM(C7-C6)*10</f>
        <v>0</v>
      </c>
      <c r="E7" s="17">
        <f t="shared" si="0"/>
        <v>0</v>
      </c>
    </row>
    <row r="8" spans="1:5" ht="12" customHeight="1" x14ac:dyDescent="0.25">
      <c r="B8" s="4">
        <v>4</v>
      </c>
      <c r="C8" s="6">
        <v>495</v>
      </c>
      <c r="D8" s="7">
        <f>SUM(C8-C7)*10</f>
        <v>0</v>
      </c>
      <c r="E8" s="17">
        <f>+D8+E7</f>
        <v>0</v>
      </c>
    </row>
    <row r="9" spans="1:5" x14ac:dyDescent="0.25">
      <c r="A9" s="2">
        <v>0</v>
      </c>
      <c r="B9" s="4">
        <v>5</v>
      </c>
      <c r="C9" s="6">
        <v>498</v>
      </c>
      <c r="D9" s="7">
        <f t="shared" si="1"/>
        <v>30</v>
      </c>
      <c r="E9" s="17">
        <f t="shared" si="0"/>
        <v>30</v>
      </c>
    </row>
    <row r="10" spans="1:5" ht="15" customHeight="1" x14ac:dyDescent="0.25">
      <c r="A10" s="2" t="s">
        <v>3</v>
      </c>
      <c r="B10" s="4">
        <v>6</v>
      </c>
      <c r="C10" s="6">
        <v>501</v>
      </c>
      <c r="D10" s="7">
        <f t="shared" si="1"/>
        <v>30</v>
      </c>
      <c r="E10" s="17">
        <f t="shared" si="0"/>
        <v>60</v>
      </c>
    </row>
    <row r="11" spans="1:5" ht="12" customHeight="1" x14ac:dyDescent="0.25">
      <c r="B11" s="4">
        <v>7</v>
      </c>
      <c r="C11" s="6">
        <v>503</v>
      </c>
      <c r="D11" s="7">
        <f t="shared" si="1"/>
        <v>20</v>
      </c>
      <c r="E11" s="17">
        <f t="shared" si="0"/>
        <v>80</v>
      </c>
    </row>
    <row r="12" spans="1:5" ht="15.75" customHeight="1" x14ac:dyDescent="0.25">
      <c r="A12" s="2">
        <v>0</v>
      </c>
      <c r="B12" s="4">
        <v>8</v>
      </c>
      <c r="C12" s="6">
        <v>506</v>
      </c>
      <c r="D12" s="7">
        <f t="shared" si="1"/>
        <v>30</v>
      </c>
      <c r="E12" s="17">
        <f t="shared" si="0"/>
        <v>110</v>
      </c>
    </row>
    <row r="13" spans="1:5" ht="12" customHeight="1" x14ac:dyDescent="0.25">
      <c r="B13" s="4">
        <v>9</v>
      </c>
      <c r="C13" s="6">
        <v>509</v>
      </c>
      <c r="D13" s="7">
        <f t="shared" si="1"/>
        <v>30</v>
      </c>
      <c r="E13" s="17">
        <f t="shared" si="0"/>
        <v>140</v>
      </c>
    </row>
    <row r="14" spans="1:5" ht="14.25" customHeight="1" x14ac:dyDescent="0.25">
      <c r="B14" s="4">
        <v>10</v>
      </c>
      <c r="C14" s="6">
        <v>512</v>
      </c>
      <c r="D14" s="7">
        <f t="shared" si="1"/>
        <v>30</v>
      </c>
      <c r="E14" s="17">
        <f t="shared" si="0"/>
        <v>170</v>
      </c>
    </row>
    <row r="15" spans="1:5" x14ac:dyDescent="0.25">
      <c r="B15" s="4">
        <v>11</v>
      </c>
      <c r="C15" s="6">
        <v>516</v>
      </c>
      <c r="D15" s="7">
        <f t="shared" si="1"/>
        <v>40</v>
      </c>
      <c r="E15" s="17">
        <f t="shared" si="0"/>
        <v>210</v>
      </c>
    </row>
    <row r="16" spans="1:5" x14ac:dyDescent="0.25">
      <c r="A16" s="2">
        <v>0</v>
      </c>
      <c r="B16" s="4">
        <v>12</v>
      </c>
      <c r="C16" s="6">
        <v>519</v>
      </c>
      <c r="D16" s="7">
        <f t="shared" si="1"/>
        <v>30</v>
      </c>
      <c r="E16" s="17">
        <f t="shared" si="0"/>
        <v>240</v>
      </c>
    </row>
    <row r="17" spans="1:5" x14ac:dyDescent="0.25">
      <c r="B17" s="4">
        <v>13</v>
      </c>
      <c r="C17" s="6">
        <v>522</v>
      </c>
      <c r="D17" s="7">
        <f t="shared" si="1"/>
        <v>30</v>
      </c>
      <c r="E17" s="17">
        <f t="shared" si="0"/>
        <v>270</v>
      </c>
    </row>
    <row r="18" spans="1:5" ht="14.25" customHeight="1" x14ac:dyDescent="0.25">
      <c r="A18" s="3" t="s">
        <v>4</v>
      </c>
      <c r="B18" s="4">
        <v>14</v>
      </c>
      <c r="C18" s="6">
        <v>525</v>
      </c>
      <c r="D18" s="7">
        <f t="shared" si="1"/>
        <v>30</v>
      </c>
      <c r="E18" s="17">
        <f t="shared" si="0"/>
        <v>300</v>
      </c>
    </row>
    <row r="19" spans="1:5" x14ac:dyDescent="0.25">
      <c r="B19" s="4">
        <v>15</v>
      </c>
      <c r="C19" s="6">
        <v>528</v>
      </c>
      <c r="D19" s="7">
        <f t="shared" si="1"/>
        <v>30</v>
      </c>
      <c r="E19" s="17">
        <f t="shared" si="0"/>
        <v>330</v>
      </c>
    </row>
    <row r="20" spans="1:5" x14ac:dyDescent="0.25">
      <c r="A20" s="2">
        <v>0</v>
      </c>
      <c r="B20" s="4">
        <v>16</v>
      </c>
      <c r="C20" s="6">
        <v>530</v>
      </c>
      <c r="D20" s="7">
        <f t="shared" si="1"/>
        <v>20</v>
      </c>
      <c r="E20" s="17">
        <f t="shared" si="0"/>
        <v>350</v>
      </c>
    </row>
    <row r="21" spans="1:5" x14ac:dyDescent="0.25">
      <c r="B21" s="4">
        <v>17</v>
      </c>
      <c r="C21" s="6">
        <v>532</v>
      </c>
      <c r="D21" s="7">
        <f t="shared" si="1"/>
        <v>20</v>
      </c>
      <c r="E21" s="17">
        <f t="shared" si="0"/>
        <v>370</v>
      </c>
    </row>
    <row r="22" spans="1:5" x14ac:dyDescent="0.25">
      <c r="B22" s="4">
        <v>18</v>
      </c>
      <c r="C22" s="6">
        <v>534</v>
      </c>
      <c r="D22" s="7">
        <f t="shared" si="1"/>
        <v>20</v>
      </c>
      <c r="E22" s="17">
        <f t="shared" si="0"/>
        <v>390</v>
      </c>
    </row>
    <row r="23" spans="1:5" x14ac:dyDescent="0.25">
      <c r="B23" s="4">
        <v>19</v>
      </c>
      <c r="C23" s="6">
        <v>537</v>
      </c>
      <c r="D23" s="7">
        <f t="shared" si="1"/>
        <v>30</v>
      </c>
      <c r="E23" s="17">
        <f t="shared" si="0"/>
        <v>420</v>
      </c>
    </row>
    <row r="24" spans="1:5" x14ac:dyDescent="0.25">
      <c r="B24" s="4">
        <v>20</v>
      </c>
      <c r="C24" s="6">
        <v>539</v>
      </c>
      <c r="D24" s="7">
        <f t="shared" si="1"/>
        <v>20</v>
      </c>
      <c r="E24" s="17">
        <f t="shared" si="0"/>
        <v>440</v>
      </c>
    </row>
    <row r="25" spans="1:5" x14ac:dyDescent="0.25">
      <c r="B25" s="4">
        <v>21</v>
      </c>
      <c r="C25" s="6">
        <v>542</v>
      </c>
      <c r="D25" s="7">
        <f t="shared" si="1"/>
        <v>30</v>
      </c>
      <c r="E25" s="17">
        <f t="shared" si="0"/>
        <v>470</v>
      </c>
    </row>
    <row r="26" spans="1:5" x14ac:dyDescent="0.25">
      <c r="B26" s="4">
        <v>22</v>
      </c>
      <c r="C26" s="8">
        <v>544</v>
      </c>
      <c r="D26" s="7">
        <f t="shared" si="1"/>
        <v>20</v>
      </c>
      <c r="E26" s="17">
        <f t="shared" si="0"/>
        <v>490</v>
      </c>
    </row>
    <row r="27" spans="1:5" x14ac:dyDescent="0.25">
      <c r="A27" s="2" t="s">
        <v>5</v>
      </c>
      <c r="B27" s="4">
        <v>23</v>
      </c>
      <c r="C27" s="8">
        <v>544</v>
      </c>
      <c r="D27" s="7">
        <f t="shared" si="1"/>
        <v>0</v>
      </c>
      <c r="E27" s="17">
        <f t="shared" si="0"/>
        <v>490</v>
      </c>
    </row>
    <row r="28" spans="1:5" ht="12.75" customHeight="1" x14ac:dyDescent="0.25">
      <c r="B28" s="4">
        <v>24</v>
      </c>
      <c r="C28" s="8">
        <v>544</v>
      </c>
      <c r="D28" s="7">
        <f t="shared" si="1"/>
        <v>0</v>
      </c>
      <c r="E28" s="17">
        <f t="shared" si="0"/>
        <v>490</v>
      </c>
    </row>
    <row r="29" spans="1:5" ht="15.6" x14ac:dyDescent="0.25">
      <c r="B29" s="12" t="s">
        <v>6</v>
      </c>
      <c r="C29" s="9">
        <f>MAX(C5:C28)</f>
        <v>544</v>
      </c>
      <c r="D29" s="10">
        <f>MAX(D5:D28)</f>
        <v>40</v>
      </c>
      <c r="E29" s="10">
        <f>MAX(E5:E28)</f>
        <v>490</v>
      </c>
    </row>
    <row r="30" spans="1:5" ht="15.6" x14ac:dyDescent="0.25">
      <c r="B30" s="12" t="s">
        <v>7</v>
      </c>
      <c r="C30" s="9">
        <f>MIN(C5:C28)</f>
        <v>495</v>
      </c>
      <c r="D30" s="10">
        <f>MIN(D5:D28)</f>
        <v>0</v>
      </c>
      <c r="E30" s="10">
        <f>MIN(E5:E28)</f>
        <v>0</v>
      </c>
    </row>
    <row r="31" spans="1:5" ht="15.6" x14ac:dyDescent="0.25">
      <c r="B31" s="13" t="s">
        <v>8</v>
      </c>
      <c r="C31" s="9">
        <f>AVERAGE(C5:C28)</f>
        <v>519.375</v>
      </c>
      <c r="D31" s="10">
        <f>AVERAGE(D5:D28)</f>
        <v>20.416666666666668</v>
      </c>
      <c r="E31" s="10">
        <f>AVERAGE(E5:E28)</f>
        <v>243.75</v>
      </c>
    </row>
    <row r="32" spans="1:5" ht="15.75" customHeight="1" thickBot="1" x14ac:dyDescent="0.3">
      <c r="B32" s="14" t="s">
        <v>9</v>
      </c>
      <c r="C32" s="15">
        <f>SUM(C5:C28)</f>
        <v>12465</v>
      </c>
      <c r="D32" s="15">
        <f>SUM(D5:D28)</f>
        <v>490</v>
      </c>
      <c r="E32" s="15">
        <f>SUM(E5:E28)</f>
        <v>5850</v>
      </c>
    </row>
    <row r="33" spans="2:2" hidden="1" x14ac:dyDescent="0.25"/>
    <row r="34" spans="2:2" hidden="1" x14ac:dyDescent="0.25"/>
    <row r="35" spans="2:2" hidden="1" x14ac:dyDescent="0.25"/>
    <row r="36" spans="2:2" hidden="1" x14ac:dyDescent="0.25"/>
    <row r="37" spans="2:2" hidden="1" x14ac:dyDescent="0.25"/>
    <row r="38" spans="2:2" hidden="1" x14ac:dyDescent="0.25"/>
    <row r="41" spans="2:2" x14ac:dyDescent="0.25">
      <c r="B41" s="2" t="s">
        <v>10</v>
      </c>
    </row>
  </sheetData>
  <mergeCells count="2">
    <mergeCell ref="B1:E2"/>
    <mergeCell ref="C3:D3"/>
  </mergeCells>
  <pageMargins left="0.7" right="0.7" top="0.75" bottom="0.75" header="0.3" footer="0.3"/>
  <pageSetup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FF4E3-856A-43F3-BD64-7B9108E20406}">
  <sheetPr codeName="Hoja14">
    <tabColor rgb="FFFFFF00"/>
  </sheetPr>
  <dimension ref="A1:E41"/>
  <sheetViews>
    <sheetView topLeftCell="A4" zoomScale="120" zoomScaleNormal="120" workbookViewId="0">
      <selection activeCell="D14" sqref="D14"/>
    </sheetView>
  </sheetViews>
  <sheetFormatPr baseColWidth="10" defaultColWidth="11.44140625" defaultRowHeight="13.2" x14ac:dyDescent="0.25"/>
  <cols>
    <col min="1" max="1" width="1.6640625" style="2" customWidth="1"/>
    <col min="2" max="2" width="11.44140625" style="2" customWidth="1"/>
    <col min="3" max="3" width="11.6640625" style="2" customWidth="1"/>
    <col min="4" max="4" width="22" style="2" customWidth="1"/>
    <col min="5" max="5" width="28.5546875" style="2" customWidth="1"/>
    <col min="6" max="16384" width="11.44140625" style="2"/>
  </cols>
  <sheetData>
    <row r="1" spans="1:5" s="1" customFormat="1" ht="12.75" customHeight="1" x14ac:dyDescent="0.3">
      <c r="B1" s="31" t="s">
        <v>12</v>
      </c>
      <c r="C1" s="32"/>
      <c r="D1" s="32"/>
      <c r="E1" s="32"/>
    </row>
    <row r="2" spans="1:5" ht="25.5" customHeight="1" thickBot="1" x14ac:dyDescent="0.3">
      <c r="B2" s="33"/>
      <c r="C2" s="34"/>
      <c r="D2" s="34"/>
      <c r="E2" s="34"/>
    </row>
    <row r="3" spans="1:5" x14ac:dyDescent="0.25">
      <c r="B3" s="11" t="s">
        <v>0</v>
      </c>
      <c r="C3" s="26">
        <v>46146</v>
      </c>
      <c r="D3" s="26"/>
      <c r="E3" s="18"/>
    </row>
    <row r="4" spans="1:5" ht="18" customHeight="1" x14ac:dyDescent="0.25">
      <c r="A4" s="2">
        <v>0</v>
      </c>
      <c r="B4" s="23" t="s">
        <v>1</v>
      </c>
      <c r="C4" s="24" t="s">
        <v>2</v>
      </c>
      <c r="D4" s="24" t="s">
        <v>13</v>
      </c>
      <c r="E4" s="25" t="s">
        <v>11</v>
      </c>
    </row>
    <row r="5" spans="1:5" x14ac:dyDescent="0.25">
      <c r="B5" s="4">
        <v>1</v>
      </c>
      <c r="C5" s="6">
        <v>544</v>
      </c>
      <c r="D5" s="7">
        <f>C5-'9-MAYO-2026'!C28</f>
        <v>0</v>
      </c>
      <c r="E5" s="17">
        <f>+D5</f>
        <v>0</v>
      </c>
    </row>
    <row r="6" spans="1:5" ht="11.25" customHeight="1" x14ac:dyDescent="0.25">
      <c r="B6" s="4">
        <v>2</v>
      </c>
      <c r="C6" s="6">
        <v>544</v>
      </c>
      <c r="D6" s="7">
        <f>SUM(C6-C5)*10</f>
        <v>0</v>
      </c>
      <c r="E6" s="17">
        <f t="shared" ref="E6:E28" si="0">+D6+E5</f>
        <v>0</v>
      </c>
    </row>
    <row r="7" spans="1:5" ht="11.25" customHeight="1" x14ac:dyDescent="0.25">
      <c r="B7" s="4">
        <v>3</v>
      </c>
      <c r="C7" s="6">
        <v>544</v>
      </c>
      <c r="D7" s="7">
        <f t="shared" ref="D7:D28" si="1">SUM(C7-C6)*10</f>
        <v>0</v>
      </c>
      <c r="E7" s="17">
        <f t="shared" si="0"/>
        <v>0</v>
      </c>
    </row>
    <row r="8" spans="1:5" ht="12" customHeight="1" x14ac:dyDescent="0.25">
      <c r="B8" s="4">
        <v>4</v>
      </c>
      <c r="C8" s="6">
        <v>544</v>
      </c>
      <c r="D8" s="7">
        <f>SUM(C8-C7)*10</f>
        <v>0</v>
      </c>
      <c r="E8" s="17">
        <f>+D8+E7</f>
        <v>0</v>
      </c>
    </row>
    <row r="9" spans="1:5" x14ac:dyDescent="0.25">
      <c r="A9" s="2">
        <v>0</v>
      </c>
      <c r="B9" s="4">
        <v>5</v>
      </c>
      <c r="C9" s="6">
        <v>546</v>
      </c>
      <c r="D9" s="7">
        <f t="shared" si="1"/>
        <v>20</v>
      </c>
      <c r="E9" s="17">
        <f t="shared" si="0"/>
        <v>20</v>
      </c>
    </row>
    <row r="10" spans="1:5" ht="15" customHeight="1" x14ac:dyDescent="0.25">
      <c r="A10" s="2" t="s">
        <v>3</v>
      </c>
      <c r="B10" s="4">
        <v>6</v>
      </c>
      <c r="C10" s="6">
        <v>549</v>
      </c>
      <c r="D10" s="7">
        <f t="shared" si="1"/>
        <v>30</v>
      </c>
      <c r="E10" s="17">
        <f t="shared" si="0"/>
        <v>50</v>
      </c>
    </row>
    <row r="11" spans="1:5" ht="12" customHeight="1" x14ac:dyDescent="0.25">
      <c r="B11" s="4">
        <v>7</v>
      </c>
      <c r="C11" s="6">
        <v>551</v>
      </c>
      <c r="D11" s="7">
        <f t="shared" si="1"/>
        <v>20</v>
      </c>
      <c r="E11" s="17">
        <f t="shared" si="0"/>
        <v>70</v>
      </c>
    </row>
    <row r="12" spans="1:5" ht="15.75" customHeight="1" x14ac:dyDescent="0.25">
      <c r="A12" s="2">
        <v>0</v>
      </c>
      <c r="B12" s="4">
        <v>8</v>
      </c>
      <c r="C12" s="6">
        <v>553</v>
      </c>
      <c r="D12" s="7">
        <f t="shared" si="1"/>
        <v>20</v>
      </c>
      <c r="E12" s="17">
        <f t="shared" si="0"/>
        <v>90</v>
      </c>
    </row>
    <row r="13" spans="1:5" ht="12" customHeight="1" x14ac:dyDescent="0.25">
      <c r="B13" s="4">
        <v>9</v>
      </c>
      <c r="C13" s="6">
        <v>556</v>
      </c>
      <c r="D13" s="7">
        <f t="shared" si="1"/>
        <v>30</v>
      </c>
      <c r="E13" s="17">
        <f t="shared" si="0"/>
        <v>120</v>
      </c>
    </row>
    <row r="14" spans="1:5" ht="14.25" customHeight="1" x14ac:dyDescent="0.25">
      <c r="B14" s="4">
        <v>10</v>
      </c>
      <c r="C14" s="6">
        <v>559</v>
      </c>
      <c r="D14" s="7">
        <f t="shared" si="1"/>
        <v>30</v>
      </c>
      <c r="E14" s="17">
        <f t="shared" si="0"/>
        <v>150</v>
      </c>
    </row>
    <row r="15" spans="1:5" x14ac:dyDescent="0.25">
      <c r="B15" s="4">
        <v>11</v>
      </c>
      <c r="C15" s="6">
        <v>563</v>
      </c>
      <c r="D15" s="7">
        <f t="shared" si="1"/>
        <v>40</v>
      </c>
      <c r="E15" s="17">
        <f t="shared" si="0"/>
        <v>190</v>
      </c>
    </row>
    <row r="16" spans="1:5" x14ac:dyDescent="0.25">
      <c r="A16" s="2">
        <v>0</v>
      </c>
      <c r="B16" s="4">
        <v>12</v>
      </c>
      <c r="C16" s="6">
        <v>567</v>
      </c>
      <c r="D16" s="7">
        <f t="shared" si="1"/>
        <v>40</v>
      </c>
      <c r="E16" s="17">
        <f t="shared" si="0"/>
        <v>230</v>
      </c>
    </row>
    <row r="17" spans="1:5" x14ac:dyDescent="0.25">
      <c r="B17" s="4">
        <v>13</v>
      </c>
      <c r="C17" s="6">
        <v>571</v>
      </c>
      <c r="D17" s="7">
        <f t="shared" si="1"/>
        <v>40</v>
      </c>
      <c r="E17" s="17">
        <f t="shared" si="0"/>
        <v>270</v>
      </c>
    </row>
    <row r="18" spans="1:5" ht="14.25" customHeight="1" x14ac:dyDescent="0.25">
      <c r="A18" s="3" t="s">
        <v>4</v>
      </c>
      <c r="B18" s="4">
        <v>14</v>
      </c>
      <c r="C18" s="6">
        <v>574</v>
      </c>
      <c r="D18" s="7">
        <f t="shared" si="1"/>
        <v>30</v>
      </c>
      <c r="E18" s="17">
        <f t="shared" si="0"/>
        <v>300</v>
      </c>
    </row>
    <row r="19" spans="1:5" x14ac:dyDescent="0.25">
      <c r="B19" s="4">
        <v>15</v>
      </c>
      <c r="C19" s="6">
        <v>576</v>
      </c>
      <c r="D19" s="7">
        <f t="shared" si="1"/>
        <v>20</v>
      </c>
      <c r="E19" s="17">
        <f t="shared" si="0"/>
        <v>320</v>
      </c>
    </row>
    <row r="20" spans="1:5" x14ac:dyDescent="0.25">
      <c r="A20" s="2">
        <v>0</v>
      </c>
      <c r="B20" s="4">
        <v>16</v>
      </c>
      <c r="C20" s="6">
        <v>578</v>
      </c>
      <c r="D20" s="7">
        <f t="shared" si="1"/>
        <v>20</v>
      </c>
      <c r="E20" s="17">
        <f t="shared" si="0"/>
        <v>340</v>
      </c>
    </row>
    <row r="21" spans="1:5" x14ac:dyDescent="0.25">
      <c r="B21" s="4">
        <v>17</v>
      </c>
      <c r="C21" s="6">
        <v>580</v>
      </c>
      <c r="D21" s="7">
        <f t="shared" si="1"/>
        <v>20</v>
      </c>
      <c r="E21" s="17">
        <f t="shared" si="0"/>
        <v>360</v>
      </c>
    </row>
    <row r="22" spans="1:5" x14ac:dyDescent="0.25">
      <c r="B22" s="4">
        <v>18</v>
      </c>
      <c r="C22" s="6">
        <v>582</v>
      </c>
      <c r="D22" s="7">
        <f t="shared" si="1"/>
        <v>20</v>
      </c>
      <c r="E22" s="17">
        <f t="shared" si="0"/>
        <v>380</v>
      </c>
    </row>
    <row r="23" spans="1:5" x14ac:dyDescent="0.25">
      <c r="B23" s="4">
        <v>19</v>
      </c>
      <c r="C23" s="6">
        <v>586</v>
      </c>
      <c r="D23" s="7">
        <f t="shared" si="1"/>
        <v>40</v>
      </c>
      <c r="E23" s="17">
        <f t="shared" si="0"/>
        <v>420</v>
      </c>
    </row>
    <row r="24" spans="1:5" x14ac:dyDescent="0.25">
      <c r="B24" s="4">
        <v>20</v>
      </c>
      <c r="C24" s="6">
        <v>590</v>
      </c>
      <c r="D24" s="7">
        <f t="shared" si="1"/>
        <v>40</v>
      </c>
      <c r="E24" s="17">
        <f t="shared" si="0"/>
        <v>460</v>
      </c>
    </row>
    <row r="25" spans="1:5" x14ac:dyDescent="0.25">
      <c r="B25" s="4">
        <v>21</v>
      </c>
      <c r="C25" s="6">
        <v>594</v>
      </c>
      <c r="D25" s="7">
        <f t="shared" si="1"/>
        <v>40</v>
      </c>
      <c r="E25" s="17">
        <f t="shared" si="0"/>
        <v>500</v>
      </c>
    </row>
    <row r="26" spans="1:5" x14ac:dyDescent="0.25">
      <c r="B26" s="4">
        <v>22</v>
      </c>
      <c r="C26" s="6">
        <v>594</v>
      </c>
      <c r="D26" s="7">
        <f t="shared" si="1"/>
        <v>0</v>
      </c>
      <c r="E26" s="17">
        <f t="shared" si="0"/>
        <v>500</v>
      </c>
    </row>
    <row r="27" spans="1:5" x14ac:dyDescent="0.25">
      <c r="A27" s="2" t="s">
        <v>5</v>
      </c>
      <c r="B27" s="4">
        <v>23</v>
      </c>
      <c r="C27" s="6">
        <v>594</v>
      </c>
      <c r="D27" s="7">
        <f t="shared" si="1"/>
        <v>0</v>
      </c>
      <c r="E27" s="17">
        <f t="shared" si="0"/>
        <v>500</v>
      </c>
    </row>
    <row r="28" spans="1:5" ht="12.75" customHeight="1" x14ac:dyDescent="0.25">
      <c r="B28" s="4">
        <v>24</v>
      </c>
      <c r="C28" s="6">
        <v>594</v>
      </c>
      <c r="D28" s="7">
        <f t="shared" si="1"/>
        <v>0</v>
      </c>
      <c r="E28" s="17">
        <f t="shared" si="0"/>
        <v>500</v>
      </c>
    </row>
    <row r="29" spans="1:5" ht="15.6" x14ac:dyDescent="0.25">
      <c r="B29" s="12" t="s">
        <v>6</v>
      </c>
      <c r="C29" s="9">
        <f>MAX(C5:C28)</f>
        <v>594</v>
      </c>
      <c r="D29" s="10">
        <f>MAX(D5:D28)</f>
        <v>40</v>
      </c>
      <c r="E29" s="10">
        <f>MAX(E5:E28)</f>
        <v>500</v>
      </c>
    </row>
    <row r="30" spans="1:5" ht="15.6" x14ac:dyDescent="0.25">
      <c r="B30" s="12" t="s">
        <v>7</v>
      </c>
      <c r="C30" s="9">
        <f>MIN(C5:C28)</f>
        <v>544</v>
      </c>
      <c r="D30" s="10">
        <f>MIN(D5:D28)</f>
        <v>0</v>
      </c>
      <c r="E30" s="10">
        <f>MIN(E5:E28)</f>
        <v>0</v>
      </c>
    </row>
    <row r="31" spans="1:5" ht="15.6" x14ac:dyDescent="0.25">
      <c r="B31" s="13" t="s">
        <v>8</v>
      </c>
      <c r="C31" s="9">
        <f>AVERAGE(C5:C28)</f>
        <v>568.04166666666663</v>
      </c>
      <c r="D31" s="10">
        <f>AVERAGE(D5:D28)</f>
        <v>20.833333333333332</v>
      </c>
      <c r="E31" s="10">
        <f>AVERAGE(E5:E28)</f>
        <v>240.41666666666666</v>
      </c>
    </row>
    <row r="32" spans="1:5" ht="15.75" customHeight="1" thickBot="1" x14ac:dyDescent="0.3">
      <c r="B32" s="14" t="s">
        <v>9</v>
      </c>
      <c r="C32" s="15">
        <f>SUM(C5:C28)</f>
        <v>13633</v>
      </c>
      <c r="D32" s="15">
        <f>SUM(D5:D28)</f>
        <v>500</v>
      </c>
      <c r="E32" s="15">
        <f>SUM(E5:E28)</f>
        <v>5770</v>
      </c>
    </row>
    <row r="33" spans="2:2" hidden="1" x14ac:dyDescent="0.25"/>
    <row r="34" spans="2:2" hidden="1" x14ac:dyDescent="0.25"/>
    <row r="35" spans="2:2" hidden="1" x14ac:dyDescent="0.25"/>
    <row r="36" spans="2:2" hidden="1" x14ac:dyDescent="0.25"/>
    <row r="37" spans="2:2" hidden="1" x14ac:dyDescent="0.25"/>
    <row r="38" spans="2:2" hidden="1" x14ac:dyDescent="0.25"/>
    <row r="41" spans="2:2" x14ac:dyDescent="0.25">
      <c r="B41" s="2" t="s">
        <v>10</v>
      </c>
    </row>
  </sheetData>
  <mergeCells count="2">
    <mergeCell ref="B1:E2"/>
    <mergeCell ref="C3:D3"/>
  </mergeCells>
  <pageMargins left="0.7" right="0.7" top="0.75" bottom="0.75" header="0.3" footer="0.3"/>
  <pageSetup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D8ACC-A08C-4475-847A-55E45111A7BB}">
  <sheetPr codeName="Hoja15">
    <tabColor rgb="FFFFFF00"/>
  </sheetPr>
  <dimension ref="A1:E41"/>
  <sheetViews>
    <sheetView topLeftCell="A4" zoomScale="120" zoomScaleNormal="120" workbookViewId="0">
      <selection activeCell="D6" sqref="D6"/>
    </sheetView>
  </sheetViews>
  <sheetFormatPr baseColWidth="10" defaultColWidth="11.44140625" defaultRowHeight="13.2" x14ac:dyDescent="0.25"/>
  <cols>
    <col min="1" max="1" width="1.6640625" style="2" customWidth="1"/>
    <col min="2" max="2" width="11.44140625" style="2" customWidth="1"/>
    <col min="3" max="3" width="11.6640625" style="2" customWidth="1"/>
    <col min="4" max="4" width="22" style="2" customWidth="1"/>
    <col min="5" max="5" width="28.5546875" style="2" customWidth="1"/>
    <col min="6" max="16384" width="11.44140625" style="2"/>
  </cols>
  <sheetData>
    <row r="1" spans="1:5" s="1" customFormat="1" ht="12.75" customHeight="1" x14ac:dyDescent="0.3">
      <c r="B1" s="31" t="s">
        <v>12</v>
      </c>
      <c r="C1" s="32"/>
      <c r="D1" s="32"/>
      <c r="E1" s="32"/>
    </row>
    <row r="2" spans="1:5" ht="25.5" customHeight="1" thickBot="1" x14ac:dyDescent="0.3">
      <c r="B2" s="33"/>
      <c r="C2" s="34"/>
      <c r="D2" s="34"/>
      <c r="E2" s="34"/>
    </row>
    <row r="3" spans="1:5" x14ac:dyDescent="0.25">
      <c r="B3" s="11" t="s">
        <v>0</v>
      </c>
      <c r="C3" s="26">
        <v>46153</v>
      </c>
      <c r="D3" s="26"/>
      <c r="E3" s="18"/>
    </row>
    <row r="4" spans="1:5" ht="18" customHeight="1" x14ac:dyDescent="0.25">
      <c r="A4" s="2">
        <v>0</v>
      </c>
      <c r="B4" s="23" t="s">
        <v>1</v>
      </c>
      <c r="C4" s="24" t="s">
        <v>2</v>
      </c>
      <c r="D4" s="24" t="s">
        <v>13</v>
      </c>
      <c r="E4" s="25" t="s">
        <v>11</v>
      </c>
    </row>
    <row r="5" spans="1:5" x14ac:dyDescent="0.25">
      <c r="B5" s="4">
        <v>1</v>
      </c>
      <c r="C5" s="6">
        <v>594</v>
      </c>
      <c r="D5" s="7">
        <f>C5-'10-MAYO-2026 '!C28</f>
        <v>0</v>
      </c>
      <c r="E5" s="17">
        <f>+D5</f>
        <v>0</v>
      </c>
    </row>
    <row r="6" spans="1:5" ht="11.25" customHeight="1" x14ac:dyDescent="0.25">
      <c r="B6" s="4">
        <v>2</v>
      </c>
      <c r="C6" s="6">
        <v>594</v>
      </c>
      <c r="D6" s="7">
        <f>SUM(C6-C5)*10</f>
        <v>0</v>
      </c>
      <c r="E6" s="17">
        <f t="shared" ref="E6:E28" si="0">+D6+E5</f>
        <v>0</v>
      </c>
    </row>
    <row r="7" spans="1:5" ht="11.25" customHeight="1" x14ac:dyDescent="0.25">
      <c r="B7" s="4">
        <v>3</v>
      </c>
      <c r="C7" s="6">
        <v>594</v>
      </c>
      <c r="D7" s="7">
        <f t="shared" ref="D7:D28" si="1">SUM(C7-C6)*10</f>
        <v>0</v>
      </c>
      <c r="E7" s="17">
        <f t="shared" si="0"/>
        <v>0</v>
      </c>
    </row>
    <row r="8" spans="1:5" ht="12" customHeight="1" x14ac:dyDescent="0.25">
      <c r="B8" s="4">
        <v>4</v>
      </c>
      <c r="C8" s="6">
        <v>594</v>
      </c>
      <c r="D8" s="7">
        <f>SUM(C8-C7)*10</f>
        <v>0</v>
      </c>
      <c r="E8" s="17">
        <f>+D8+E7</f>
        <v>0</v>
      </c>
    </row>
    <row r="9" spans="1:5" x14ac:dyDescent="0.25">
      <c r="A9" s="2">
        <v>0</v>
      </c>
      <c r="B9" s="4">
        <v>5</v>
      </c>
      <c r="C9" s="6">
        <v>596</v>
      </c>
      <c r="D9" s="7">
        <f t="shared" si="1"/>
        <v>20</v>
      </c>
      <c r="E9" s="17">
        <f t="shared" si="0"/>
        <v>20</v>
      </c>
    </row>
    <row r="10" spans="1:5" ht="15" customHeight="1" x14ac:dyDescent="0.25">
      <c r="A10" s="2" t="s">
        <v>3</v>
      </c>
      <c r="B10" s="4">
        <v>6</v>
      </c>
      <c r="C10" s="6">
        <v>598</v>
      </c>
      <c r="D10" s="7">
        <f t="shared" si="1"/>
        <v>20</v>
      </c>
      <c r="E10" s="17">
        <f t="shared" si="0"/>
        <v>40</v>
      </c>
    </row>
    <row r="11" spans="1:5" ht="12" customHeight="1" x14ac:dyDescent="0.25">
      <c r="B11" s="4">
        <v>7</v>
      </c>
      <c r="C11" s="6">
        <v>600</v>
      </c>
      <c r="D11" s="7">
        <f t="shared" si="1"/>
        <v>20</v>
      </c>
      <c r="E11" s="17">
        <f t="shared" si="0"/>
        <v>60</v>
      </c>
    </row>
    <row r="12" spans="1:5" ht="15.75" customHeight="1" x14ac:dyDescent="0.25">
      <c r="A12" s="2">
        <v>0</v>
      </c>
      <c r="B12" s="4">
        <v>8</v>
      </c>
      <c r="C12" s="6">
        <v>602</v>
      </c>
      <c r="D12" s="7">
        <f t="shared" si="1"/>
        <v>20</v>
      </c>
      <c r="E12" s="17">
        <f t="shared" si="0"/>
        <v>80</v>
      </c>
    </row>
    <row r="13" spans="1:5" ht="12" customHeight="1" x14ac:dyDescent="0.25">
      <c r="B13" s="4">
        <v>9</v>
      </c>
      <c r="C13" s="6">
        <v>605</v>
      </c>
      <c r="D13" s="7">
        <f t="shared" si="1"/>
        <v>30</v>
      </c>
      <c r="E13" s="17">
        <f t="shared" si="0"/>
        <v>110</v>
      </c>
    </row>
    <row r="14" spans="1:5" ht="14.25" customHeight="1" x14ac:dyDescent="0.25">
      <c r="B14" s="4">
        <v>10</v>
      </c>
      <c r="C14" s="6">
        <v>608</v>
      </c>
      <c r="D14" s="7">
        <f t="shared" si="1"/>
        <v>30</v>
      </c>
      <c r="E14" s="17">
        <f t="shared" si="0"/>
        <v>140</v>
      </c>
    </row>
    <row r="15" spans="1:5" x14ac:dyDescent="0.25">
      <c r="B15" s="4">
        <v>11</v>
      </c>
      <c r="C15" s="6">
        <v>611</v>
      </c>
      <c r="D15" s="7">
        <f t="shared" si="1"/>
        <v>30</v>
      </c>
      <c r="E15" s="17">
        <f t="shared" si="0"/>
        <v>170</v>
      </c>
    </row>
    <row r="16" spans="1:5" x14ac:dyDescent="0.25">
      <c r="A16" s="2">
        <v>0</v>
      </c>
      <c r="B16" s="4">
        <v>12</v>
      </c>
      <c r="C16" s="6">
        <v>614</v>
      </c>
      <c r="D16" s="7">
        <f t="shared" si="1"/>
        <v>30</v>
      </c>
      <c r="E16" s="17">
        <f t="shared" si="0"/>
        <v>200</v>
      </c>
    </row>
    <row r="17" spans="1:5" x14ac:dyDescent="0.25">
      <c r="B17" s="4">
        <v>13</v>
      </c>
      <c r="C17" s="6">
        <v>616</v>
      </c>
      <c r="D17" s="7">
        <f t="shared" si="1"/>
        <v>20</v>
      </c>
      <c r="E17" s="17">
        <f t="shared" si="0"/>
        <v>220</v>
      </c>
    </row>
    <row r="18" spans="1:5" ht="14.25" customHeight="1" x14ac:dyDescent="0.25">
      <c r="A18" s="3" t="s">
        <v>4</v>
      </c>
      <c r="B18" s="4">
        <v>14</v>
      </c>
      <c r="C18" s="6">
        <v>618</v>
      </c>
      <c r="D18" s="7">
        <f t="shared" si="1"/>
        <v>20</v>
      </c>
      <c r="E18" s="17">
        <f t="shared" si="0"/>
        <v>240</v>
      </c>
    </row>
    <row r="19" spans="1:5" x14ac:dyDescent="0.25">
      <c r="B19" s="4">
        <v>15</v>
      </c>
      <c r="C19" s="6">
        <v>620</v>
      </c>
      <c r="D19" s="7">
        <f t="shared" si="1"/>
        <v>20</v>
      </c>
      <c r="E19" s="17">
        <f t="shared" si="0"/>
        <v>260</v>
      </c>
    </row>
    <row r="20" spans="1:5" x14ac:dyDescent="0.25">
      <c r="A20" s="2">
        <v>0</v>
      </c>
      <c r="B20" s="4">
        <v>16</v>
      </c>
      <c r="C20" s="6">
        <v>621</v>
      </c>
      <c r="D20" s="7">
        <f t="shared" si="1"/>
        <v>10</v>
      </c>
      <c r="E20" s="17">
        <f t="shared" si="0"/>
        <v>270</v>
      </c>
    </row>
    <row r="21" spans="1:5" x14ac:dyDescent="0.25">
      <c r="B21" s="4">
        <v>17</v>
      </c>
      <c r="C21" s="6">
        <v>622</v>
      </c>
      <c r="D21" s="7">
        <f t="shared" si="1"/>
        <v>10</v>
      </c>
      <c r="E21" s="17">
        <f t="shared" si="0"/>
        <v>280</v>
      </c>
    </row>
    <row r="22" spans="1:5" x14ac:dyDescent="0.25">
      <c r="B22" s="4">
        <v>18</v>
      </c>
      <c r="C22" s="6">
        <v>624</v>
      </c>
      <c r="D22" s="7">
        <f t="shared" si="1"/>
        <v>20</v>
      </c>
      <c r="E22" s="17">
        <f t="shared" si="0"/>
        <v>300</v>
      </c>
    </row>
    <row r="23" spans="1:5" x14ac:dyDescent="0.25">
      <c r="B23" s="4">
        <v>19</v>
      </c>
      <c r="C23" s="6">
        <v>626</v>
      </c>
      <c r="D23" s="7">
        <f t="shared" si="1"/>
        <v>20</v>
      </c>
      <c r="E23" s="17">
        <f t="shared" si="0"/>
        <v>320</v>
      </c>
    </row>
    <row r="24" spans="1:5" x14ac:dyDescent="0.25">
      <c r="B24" s="4">
        <v>20</v>
      </c>
      <c r="C24" s="6">
        <v>628</v>
      </c>
      <c r="D24" s="7">
        <f t="shared" si="1"/>
        <v>20</v>
      </c>
      <c r="E24" s="17">
        <f t="shared" si="0"/>
        <v>340</v>
      </c>
    </row>
    <row r="25" spans="1:5" x14ac:dyDescent="0.25">
      <c r="B25" s="4">
        <v>21</v>
      </c>
      <c r="C25" s="6">
        <v>630</v>
      </c>
      <c r="D25" s="7">
        <f t="shared" si="1"/>
        <v>20</v>
      </c>
      <c r="E25" s="17">
        <f t="shared" si="0"/>
        <v>360</v>
      </c>
    </row>
    <row r="26" spans="1:5" x14ac:dyDescent="0.25">
      <c r="B26" s="4">
        <v>22</v>
      </c>
      <c r="C26" s="8">
        <v>633</v>
      </c>
      <c r="D26" s="7">
        <f t="shared" si="1"/>
        <v>30</v>
      </c>
      <c r="E26" s="17">
        <f t="shared" si="0"/>
        <v>390</v>
      </c>
    </row>
    <row r="27" spans="1:5" x14ac:dyDescent="0.25">
      <c r="A27" s="2" t="s">
        <v>5</v>
      </c>
      <c r="B27" s="4">
        <v>23</v>
      </c>
      <c r="C27" s="8">
        <v>633</v>
      </c>
      <c r="D27" s="7">
        <f t="shared" si="1"/>
        <v>0</v>
      </c>
      <c r="E27" s="17">
        <f t="shared" si="0"/>
        <v>390</v>
      </c>
    </row>
    <row r="28" spans="1:5" ht="12.75" customHeight="1" x14ac:dyDescent="0.25">
      <c r="B28" s="4">
        <v>24</v>
      </c>
      <c r="C28" s="8">
        <v>633</v>
      </c>
      <c r="D28" s="7">
        <f t="shared" si="1"/>
        <v>0</v>
      </c>
      <c r="E28" s="17">
        <f t="shared" si="0"/>
        <v>390</v>
      </c>
    </row>
    <row r="29" spans="1:5" ht="15.6" x14ac:dyDescent="0.25">
      <c r="B29" s="12" t="s">
        <v>6</v>
      </c>
      <c r="C29" s="9">
        <f>MAX(C5:C28)</f>
        <v>633</v>
      </c>
      <c r="D29" s="10">
        <f>MAX(D5:D28)</f>
        <v>30</v>
      </c>
      <c r="E29" s="10">
        <f>MAX(E5:E28)</f>
        <v>390</v>
      </c>
    </row>
    <row r="30" spans="1:5" ht="15.6" x14ac:dyDescent="0.25">
      <c r="B30" s="12" t="s">
        <v>7</v>
      </c>
      <c r="C30" s="9">
        <f>MIN(C5:C28)</f>
        <v>594</v>
      </c>
      <c r="D30" s="10">
        <f>MIN(D5:D28)</f>
        <v>0</v>
      </c>
      <c r="E30" s="10">
        <f>MIN(E5:E28)</f>
        <v>0</v>
      </c>
    </row>
    <row r="31" spans="1:5" ht="15.6" x14ac:dyDescent="0.25">
      <c r="B31" s="13" t="s">
        <v>8</v>
      </c>
      <c r="C31" s="9">
        <f>AVERAGE(C5:C28)</f>
        <v>613.08333333333337</v>
      </c>
      <c r="D31" s="10">
        <f>AVERAGE(D5:D28)</f>
        <v>16.25</v>
      </c>
      <c r="E31" s="10">
        <f>AVERAGE(E5:E28)</f>
        <v>190.83333333333334</v>
      </c>
    </row>
    <row r="32" spans="1:5" ht="15.75" customHeight="1" thickBot="1" x14ac:dyDescent="0.3">
      <c r="B32" s="14" t="s">
        <v>9</v>
      </c>
      <c r="C32" s="15">
        <f>SUM(C5:C28)</f>
        <v>14714</v>
      </c>
      <c r="D32" s="15">
        <f>SUM(D5:D28)</f>
        <v>390</v>
      </c>
      <c r="E32" s="15">
        <f>SUM(E5:E28)</f>
        <v>4580</v>
      </c>
    </row>
    <row r="33" spans="2:2" hidden="1" x14ac:dyDescent="0.25"/>
    <row r="34" spans="2:2" hidden="1" x14ac:dyDescent="0.25"/>
    <row r="35" spans="2:2" hidden="1" x14ac:dyDescent="0.25"/>
    <row r="36" spans="2:2" hidden="1" x14ac:dyDescent="0.25"/>
    <row r="37" spans="2:2" hidden="1" x14ac:dyDescent="0.25"/>
    <row r="38" spans="2:2" hidden="1" x14ac:dyDescent="0.25"/>
    <row r="41" spans="2:2" x14ac:dyDescent="0.25">
      <c r="B41" s="2" t="s">
        <v>10</v>
      </c>
    </row>
  </sheetData>
  <mergeCells count="2">
    <mergeCell ref="B1:E2"/>
    <mergeCell ref="C3:D3"/>
  </mergeCells>
  <pageMargins left="0.7" right="0.7" top="0.75" bottom="0.75" header="0.3" footer="0.3"/>
  <pageSetup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9D44D-2FE6-4875-A1E9-096E056CAE74}">
  <sheetPr codeName="Hoja16">
    <tabColor rgb="FFFFFF00"/>
  </sheetPr>
  <dimension ref="A1:E41"/>
  <sheetViews>
    <sheetView zoomScale="120" zoomScaleNormal="120" workbookViewId="0">
      <selection activeCell="D6" sqref="D6"/>
    </sheetView>
  </sheetViews>
  <sheetFormatPr baseColWidth="10" defaultColWidth="11.44140625" defaultRowHeight="13.2" x14ac:dyDescent="0.25"/>
  <cols>
    <col min="1" max="1" width="1.6640625" style="2" customWidth="1"/>
    <col min="2" max="2" width="11.44140625" style="2" customWidth="1"/>
    <col min="3" max="3" width="11.6640625" style="2" customWidth="1"/>
    <col min="4" max="4" width="22" style="2" customWidth="1"/>
    <col min="5" max="5" width="28.5546875" style="2" customWidth="1"/>
    <col min="6" max="16384" width="11.44140625" style="2"/>
  </cols>
  <sheetData>
    <row r="1" spans="1:5" s="1" customFormat="1" ht="12.75" customHeight="1" x14ac:dyDescent="0.3">
      <c r="B1" s="31" t="s">
        <v>12</v>
      </c>
      <c r="C1" s="32"/>
      <c r="D1" s="32"/>
      <c r="E1" s="32"/>
    </row>
    <row r="2" spans="1:5" ht="25.5" customHeight="1" thickBot="1" x14ac:dyDescent="0.3">
      <c r="B2" s="33"/>
      <c r="C2" s="34"/>
      <c r="D2" s="34"/>
      <c r="E2" s="34"/>
    </row>
    <row r="3" spans="1:5" x14ac:dyDescent="0.25">
      <c r="B3" s="11" t="s">
        <v>0</v>
      </c>
      <c r="C3" s="26">
        <v>46153</v>
      </c>
      <c r="D3" s="26"/>
      <c r="E3" s="18"/>
    </row>
    <row r="4" spans="1:5" ht="18" customHeight="1" x14ac:dyDescent="0.25">
      <c r="A4" s="2">
        <v>0</v>
      </c>
      <c r="B4" s="23" t="s">
        <v>1</v>
      </c>
      <c r="C4" s="24" t="s">
        <v>2</v>
      </c>
      <c r="D4" s="24" t="s">
        <v>13</v>
      </c>
      <c r="E4" s="25" t="s">
        <v>11</v>
      </c>
    </row>
    <row r="5" spans="1:5" x14ac:dyDescent="0.25">
      <c r="B5" s="4">
        <v>1</v>
      </c>
      <c r="C5" s="6">
        <v>633</v>
      </c>
      <c r="D5" s="7">
        <f>C5-'11-MAYO-2026  '!C28</f>
        <v>0</v>
      </c>
      <c r="E5" s="17">
        <f>+D5</f>
        <v>0</v>
      </c>
    </row>
    <row r="6" spans="1:5" ht="11.25" customHeight="1" x14ac:dyDescent="0.25">
      <c r="B6" s="4">
        <v>2</v>
      </c>
      <c r="C6" s="6">
        <v>633</v>
      </c>
      <c r="D6" s="7">
        <f>SUM(C6-C5)*10</f>
        <v>0</v>
      </c>
      <c r="E6" s="17">
        <f t="shared" ref="E6:E28" si="0">+D6+E5</f>
        <v>0</v>
      </c>
    </row>
    <row r="7" spans="1:5" ht="11.25" customHeight="1" x14ac:dyDescent="0.25">
      <c r="B7" s="4">
        <v>3</v>
      </c>
      <c r="C7" s="6">
        <v>633</v>
      </c>
      <c r="D7" s="7">
        <f t="shared" ref="D7:D28" si="1">SUM(C7-C6)*10</f>
        <v>0</v>
      </c>
      <c r="E7" s="17">
        <f t="shared" si="0"/>
        <v>0</v>
      </c>
    </row>
    <row r="8" spans="1:5" ht="12" customHeight="1" x14ac:dyDescent="0.25">
      <c r="B8" s="4">
        <v>4</v>
      </c>
      <c r="C8" s="6">
        <v>633</v>
      </c>
      <c r="D8" s="7">
        <f>SUM(C8-C7)*10</f>
        <v>0</v>
      </c>
      <c r="E8" s="17">
        <f>+D8+E7</f>
        <v>0</v>
      </c>
    </row>
    <row r="9" spans="1:5" x14ac:dyDescent="0.25">
      <c r="A9" s="2">
        <v>0</v>
      </c>
      <c r="B9" s="4">
        <v>5</v>
      </c>
      <c r="C9" s="6">
        <v>636</v>
      </c>
      <c r="D9" s="7">
        <f t="shared" si="1"/>
        <v>30</v>
      </c>
      <c r="E9" s="17">
        <f t="shared" si="0"/>
        <v>30</v>
      </c>
    </row>
    <row r="10" spans="1:5" ht="15" customHeight="1" x14ac:dyDescent="0.25">
      <c r="A10" s="2" t="s">
        <v>3</v>
      </c>
      <c r="B10" s="4">
        <v>6</v>
      </c>
      <c r="C10" s="6">
        <v>638</v>
      </c>
      <c r="D10" s="7">
        <f t="shared" si="1"/>
        <v>20</v>
      </c>
      <c r="E10" s="17">
        <f t="shared" si="0"/>
        <v>50</v>
      </c>
    </row>
    <row r="11" spans="1:5" ht="12" customHeight="1" x14ac:dyDescent="0.25">
      <c r="B11" s="4">
        <v>7</v>
      </c>
      <c r="C11" s="6">
        <v>640</v>
      </c>
      <c r="D11" s="7">
        <f t="shared" si="1"/>
        <v>20</v>
      </c>
      <c r="E11" s="17">
        <f t="shared" si="0"/>
        <v>70</v>
      </c>
    </row>
    <row r="12" spans="1:5" ht="15.75" customHeight="1" x14ac:dyDescent="0.25">
      <c r="A12" s="2">
        <v>0</v>
      </c>
      <c r="B12" s="4">
        <v>8</v>
      </c>
      <c r="C12" s="6">
        <v>643</v>
      </c>
      <c r="D12" s="7">
        <f t="shared" si="1"/>
        <v>30</v>
      </c>
      <c r="E12" s="17">
        <f t="shared" si="0"/>
        <v>100</v>
      </c>
    </row>
    <row r="13" spans="1:5" ht="12" customHeight="1" x14ac:dyDescent="0.25">
      <c r="B13" s="4">
        <v>9</v>
      </c>
      <c r="C13" s="6">
        <v>646</v>
      </c>
      <c r="D13" s="7">
        <f t="shared" si="1"/>
        <v>30</v>
      </c>
      <c r="E13" s="17">
        <f t="shared" si="0"/>
        <v>130</v>
      </c>
    </row>
    <row r="14" spans="1:5" ht="14.25" customHeight="1" x14ac:dyDescent="0.25">
      <c r="B14" s="4">
        <v>10</v>
      </c>
      <c r="C14" s="6">
        <v>648</v>
      </c>
      <c r="D14" s="7">
        <f t="shared" si="1"/>
        <v>20</v>
      </c>
      <c r="E14" s="17">
        <f t="shared" si="0"/>
        <v>150</v>
      </c>
    </row>
    <row r="15" spans="1:5" x14ac:dyDescent="0.25">
      <c r="B15" s="4">
        <v>11</v>
      </c>
      <c r="C15" s="6">
        <v>650</v>
      </c>
      <c r="D15" s="7">
        <f t="shared" si="1"/>
        <v>20</v>
      </c>
      <c r="E15" s="17">
        <f t="shared" si="0"/>
        <v>170</v>
      </c>
    </row>
    <row r="16" spans="1:5" x14ac:dyDescent="0.25">
      <c r="A16" s="2">
        <v>0</v>
      </c>
      <c r="B16" s="4">
        <v>12</v>
      </c>
      <c r="C16" s="6">
        <v>653</v>
      </c>
      <c r="D16" s="7">
        <f t="shared" si="1"/>
        <v>30</v>
      </c>
      <c r="E16" s="17">
        <f t="shared" si="0"/>
        <v>200</v>
      </c>
    </row>
    <row r="17" spans="1:5" x14ac:dyDescent="0.25">
      <c r="B17" s="4">
        <v>13</v>
      </c>
      <c r="C17" s="6">
        <v>656</v>
      </c>
      <c r="D17" s="7">
        <f t="shared" si="1"/>
        <v>30</v>
      </c>
      <c r="E17" s="17">
        <f t="shared" si="0"/>
        <v>230</v>
      </c>
    </row>
    <row r="18" spans="1:5" ht="14.25" customHeight="1" x14ac:dyDescent="0.25">
      <c r="A18" s="3" t="s">
        <v>4</v>
      </c>
      <c r="B18" s="4">
        <v>14</v>
      </c>
      <c r="C18" s="6">
        <v>658</v>
      </c>
      <c r="D18" s="7">
        <f t="shared" si="1"/>
        <v>20</v>
      </c>
      <c r="E18" s="17">
        <f t="shared" si="0"/>
        <v>250</v>
      </c>
    </row>
    <row r="19" spans="1:5" x14ac:dyDescent="0.25">
      <c r="B19" s="4">
        <v>15</v>
      </c>
      <c r="C19" s="6">
        <v>660</v>
      </c>
      <c r="D19" s="7">
        <f t="shared" si="1"/>
        <v>20</v>
      </c>
      <c r="E19" s="17">
        <f t="shared" si="0"/>
        <v>270</v>
      </c>
    </row>
    <row r="20" spans="1:5" x14ac:dyDescent="0.25">
      <c r="A20" s="2">
        <v>0</v>
      </c>
      <c r="B20" s="4">
        <v>16</v>
      </c>
      <c r="C20" s="6">
        <v>661</v>
      </c>
      <c r="D20" s="7">
        <f t="shared" si="1"/>
        <v>10</v>
      </c>
      <c r="E20" s="17">
        <f t="shared" si="0"/>
        <v>280</v>
      </c>
    </row>
    <row r="21" spans="1:5" x14ac:dyDescent="0.25">
      <c r="B21" s="4">
        <v>17</v>
      </c>
      <c r="C21" s="6">
        <v>662</v>
      </c>
      <c r="D21" s="7">
        <f t="shared" si="1"/>
        <v>10</v>
      </c>
      <c r="E21" s="17">
        <f t="shared" si="0"/>
        <v>290</v>
      </c>
    </row>
    <row r="22" spans="1:5" x14ac:dyDescent="0.25">
      <c r="B22" s="4">
        <v>18</v>
      </c>
      <c r="C22" s="6">
        <v>665</v>
      </c>
      <c r="D22" s="7">
        <f t="shared" si="1"/>
        <v>30</v>
      </c>
      <c r="E22" s="17">
        <f t="shared" si="0"/>
        <v>320</v>
      </c>
    </row>
    <row r="23" spans="1:5" x14ac:dyDescent="0.25">
      <c r="B23" s="4">
        <v>19</v>
      </c>
      <c r="C23" s="6">
        <v>667</v>
      </c>
      <c r="D23" s="7">
        <f t="shared" si="1"/>
        <v>20</v>
      </c>
      <c r="E23" s="17">
        <f t="shared" si="0"/>
        <v>340</v>
      </c>
    </row>
    <row r="24" spans="1:5" x14ac:dyDescent="0.25">
      <c r="B24" s="4">
        <v>20</v>
      </c>
      <c r="C24" s="6">
        <v>669</v>
      </c>
      <c r="D24" s="7">
        <f t="shared" si="1"/>
        <v>20</v>
      </c>
      <c r="E24" s="17">
        <f t="shared" si="0"/>
        <v>360</v>
      </c>
    </row>
    <row r="25" spans="1:5" x14ac:dyDescent="0.25">
      <c r="B25" s="4">
        <v>21</v>
      </c>
      <c r="C25" s="6">
        <v>672</v>
      </c>
      <c r="D25" s="7">
        <f t="shared" si="1"/>
        <v>30</v>
      </c>
      <c r="E25" s="17">
        <f t="shared" si="0"/>
        <v>390</v>
      </c>
    </row>
    <row r="26" spans="1:5" x14ac:dyDescent="0.25">
      <c r="B26" s="4">
        <v>22</v>
      </c>
      <c r="C26" s="8">
        <v>675</v>
      </c>
      <c r="D26" s="7">
        <f t="shared" si="1"/>
        <v>30</v>
      </c>
      <c r="E26" s="17">
        <f t="shared" si="0"/>
        <v>420</v>
      </c>
    </row>
    <row r="27" spans="1:5" x14ac:dyDescent="0.25">
      <c r="A27" s="2" t="s">
        <v>5</v>
      </c>
      <c r="B27" s="4">
        <v>23</v>
      </c>
      <c r="C27" s="8">
        <v>675</v>
      </c>
      <c r="D27" s="7">
        <f t="shared" si="1"/>
        <v>0</v>
      </c>
      <c r="E27" s="17">
        <f t="shared" si="0"/>
        <v>420</v>
      </c>
    </row>
    <row r="28" spans="1:5" ht="12.75" customHeight="1" x14ac:dyDescent="0.25">
      <c r="B28" s="4">
        <v>24</v>
      </c>
      <c r="C28" s="8">
        <v>675</v>
      </c>
      <c r="D28" s="7">
        <f t="shared" si="1"/>
        <v>0</v>
      </c>
      <c r="E28" s="17">
        <f t="shared" si="0"/>
        <v>420</v>
      </c>
    </row>
    <row r="29" spans="1:5" ht="15.6" x14ac:dyDescent="0.25">
      <c r="B29" s="12" t="s">
        <v>6</v>
      </c>
      <c r="C29" s="9">
        <f>MAX(C5:C28)</f>
        <v>675</v>
      </c>
      <c r="D29" s="10">
        <f>MAX(D5:D28)</f>
        <v>30</v>
      </c>
      <c r="E29" s="10">
        <f>MAX(E5:E28)</f>
        <v>420</v>
      </c>
    </row>
    <row r="30" spans="1:5" ht="15.6" x14ac:dyDescent="0.25">
      <c r="B30" s="12" t="s">
        <v>7</v>
      </c>
      <c r="C30" s="9">
        <f>MIN(C5:C28)</f>
        <v>633</v>
      </c>
      <c r="D30" s="10">
        <f>MIN(D5:D28)</f>
        <v>0</v>
      </c>
      <c r="E30" s="10">
        <f>MIN(E5:E28)</f>
        <v>0</v>
      </c>
    </row>
    <row r="31" spans="1:5" ht="15.6" x14ac:dyDescent="0.25">
      <c r="B31" s="13" t="s">
        <v>8</v>
      </c>
      <c r="C31" s="9">
        <f>AVERAGE(C5:C28)</f>
        <v>653.375</v>
      </c>
      <c r="D31" s="10">
        <f>AVERAGE(D5:D28)</f>
        <v>17.5</v>
      </c>
      <c r="E31" s="10">
        <f>AVERAGE(E5:E28)</f>
        <v>203.75</v>
      </c>
    </row>
    <row r="32" spans="1:5" ht="15.75" customHeight="1" thickBot="1" x14ac:dyDescent="0.3">
      <c r="B32" s="14" t="s">
        <v>9</v>
      </c>
      <c r="C32" s="15">
        <f>SUM(C5:C28)</f>
        <v>15681</v>
      </c>
      <c r="D32" s="15">
        <f>SUM(D5:D28)</f>
        <v>420</v>
      </c>
      <c r="E32" s="15">
        <f>SUM(E5:E28)</f>
        <v>4890</v>
      </c>
    </row>
    <row r="33" spans="2:2" hidden="1" x14ac:dyDescent="0.25"/>
    <row r="34" spans="2:2" hidden="1" x14ac:dyDescent="0.25"/>
    <row r="35" spans="2:2" hidden="1" x14ac:dyDescent="0.25"/>
    <row r="36" spans="2:2" hidden="1" x14ac:dyDescent="0.25"/>
    <row r="37" spans="2:2" hidden="1" x14ac:dyDescent="0.25"/>
    <row r="38" spans="2:2" hidden="1" x14ac:dyDescent="0.25"/>
    <row r="41" spans="2:2" x14ac:dyDescent="0.25">
      <c r="B41" s="2" t="s">
        <v>10</v>
      </c>
    </row>
  </sheetData>
  <mergeCells count="2">
    <mergeCell ref="B1:E2"/>
    <mergeCell ref="C3:D3"/>
  </mergeCells>
  <pageMargins left="0.7" right="0.7" top="0.75" bottom="0.75" header="0.3" footer="0.3"/>
  <pageSetup orientation="portrait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0EE0E-0059-441C-B651-392E9CFE53A7}">
  <sheetPr codeName="Hoja17">
    <tabColor rgb="FFFFFF00"/>
  </sheetPr>
  <dimension ref="A1:E41"/>
  <sheetViews>
    <sheetView zoomScale="120" zoomScaleNormal="120" workbookViewId="0">
      <selection activeCell="D5" sqref="D5"/>
    </sheetView>
  </sheetViews>
  <sheetFormatPr baseColWidth="10" defaultColWidth="11.44140625" defaultRowHeight="13.2" x14ac:dyDescent="0.25"/>
  <cols>
    <col min="1" max="1" width="1.6640625" style="2" customWidth="1"/>
    <col min="2" max="2" width="11.44140625" style="2" customWidth="1"/>
    <col min="3" max="3" width="11.6640625" style="2" customWidth="1"/>
    <col min="4" max="4" width="22" style="2" customWidth="1"/>
    <col min="5" max="5" width="28.5546875" style="2" customWidth="1"/>
    <col min="6" max="16384" width="11.44140625" style="2"/>
  </cols>
  <sheetData>
    <row r="1" spans="1:5" s="1" customFormat="1" ht="12.75" customHeight="1" x14ac:dyDescent="0.3">
      <c r="B1" s="31" t="s">
        <v>12</v>
      </c>
      <c r="C1" s="32"/>
      <c r="D1" s="32"/>
      <c r="E1" s="32"/>
    </row>
    <row r="2" spans="1:5" ht="25.5" customHeight="1" thickBot="1" x14ac:dyDescent="0.3">
      <c r="B2" s="33"/>
      <c r="C2" s="34"/>
      <c r="D2" s="34"/>
      <c r="E2" s="34"/>
    </row>
    <row r="3" spans="1:5" x14ac:dyDescent="0.25">
      <c r="B3" s="11" t="s">
        <v>0</v>
      </c>
      <c r="C3" s="26">
        <v>46153</v>
      </c>
      <c r="D3" s="26"/>
      <c r="E3" s="18"/>
    </row>
    <row r="4" spans="1:5" ht="18" customHeight="1" x14ac:dyDescent="0.25">
      <c r="A4" s="2">
        <v>0</v>
      </c>
      <c r="B4" s="23" t="s">
        <v>1</v>
      </c>
      <c r="C4" s="24" t="s">
        <v>2</v>
      </c>
      <c r="D4" s="24" t="s">
        <v>13</v>
      </c>
      <c r="E4" s="25" t="s">
        <v>11</v>
      </c>
    </row>
    <row r="5" spans="1:5" x14ac:dyDescent="0.25">
      <c r="B5" s="4">
        <v>1</v>
      </c>
      <c r="C5" s="6">
        <v>675</v>
      </c>
      <c r="D5" s="7">
        <f>C5-'12-MAYO-2026  '!C28</f>
        <v>0</v>
      </c>
      <c r="E5" s="17">
        <f>+D5</f>
        <v>0</v>
      </c>
    </row>
    <row r="6" spans="1:5" ht="11.25" customHeight="1" x14ac:dyDescent="0.25">
      <c r="B6" s="4">
        <v>2</v>
      </c>
      <c r="C6" s="6">
        <v>675</v>
      </c>
      <c r="D6" s="7">
        <f>SUM(C6-C5)*10</f>
        <v>0</v>
      </c>
      <c r="E6" s="17">
        <f t="shared" ref="E6:E28" si="0">+D6+E5</f>
        <v>0</v>
      </c>
    </row>
    <row r="7" spans="1:5" ht="11.25" customHeight="1" x14ac:dyDescent="0.25">
      <c r="B7" s="4">
        <v>3</v>
      </c>
      <c r="C7" s="6">
        <v>675</v>
      </c>
      <c r="D7" s="7">
        <f t="shared" ref="D7:D28" si="1">SUM(C7-C6)*10</f>
        <v>0</v>
      </c>
      <c r="E7" s="17">
        <f t="shared" si="0"/>
        <v>0</v>
      </c>
    </row>
    <row r="8" spans="1:5" ht="12" customHeight="1" x14ac:dyDescent="0.25">
      <c r="B8" s="4">
        <v>4</v>
      </c>
      <c r="C8" s="6">
        <v>675</v>
      </c>
      <c r="D8" s="7">
        <f>SUM(C8-C7)*10</f>
        <v>0</v>
      </c>
      <c r="E8" s="17">
        <f>+D8+E7</f>
        <v>0</v>
      </c>
    </row>
    <row r="9" spans="1:5" x14ac:dyDescent="0.25">
      <c r="A9" s="2">
        <v>0</v>
      </c>
      <c r="B9" s="4">
        <v>5</v>
      </c>
      <c r="C9" s="6">
        <v>678</v>
      </c>
      <c r="D9" s="7">
        <f t="shared" si="1"/>
        <v>30</v>
      </c>
      <c r="E9" s="17">
        <f t="shared" si="0"/>
        <v>30</v>
      </c>
    </row>
    <row r="10" spans="1:5" ht="15" customHeight="1" x14ac:dyDescent="0.25">
      <c r="A10" s="2" t="s">
        <v>3</v>
      </c>
      <c r="B10" s="4">
        <v>6</v>
      </c>
      <c r="C10" s="6">
        <v>680</v>
      </c>
      <c r="D10" s="7">
        <f t="shared" si="1"/>
        <v>20</v>
      </c>
      <c r="E10" s="17">
        <f t="shared" si="0"/>
        <v>50</v>
      </c>
    </row>
    <row r="11" spans="1:5" ht="12" customHeight="1" x14ac:dyDescent="0.25">
      <c r="B11" s="4">
        <v>7</v>
      </c>
      <c r="C11" s="6">
        <v>682</v>
      </c>
      <c r="D11" s="7">
        <f t="shared" si="1"/>
        <v>20</v>
      </c>
      <c r="E11" s="17">
        <f t="shared" si="0"/>
        <v>70</v>
      </c>
    </row>
    <row r="12" spans="1:5" ht="15.75" customHeight="1" x14ac:dyDescent="0.25">
      <c r="A12" s="2">
        <v>0</v>
      </c>
      <c r="B12" s="4">
        <v>8</v>
      </c>
      <c r="C12" s="6">
        <v>684</v>
      </c>
      <c r="D12" s="7">
        <f t="shared" si="1"/>
        <v>20</v>
      </c>
      <c r="E12" s="17">
        <f t="shared" si="0"/>
        <v>90</v>
      </c>
    </row>
    <row r="13" spans="1:5" ht="12" customHeight="1" x14ac:dyDescent="0.25">
      <c r="B13" s="4">
        <v>9</v>
      </c>
      <c r="C13" s="6">
        <v>686</v>
      </c>
      <c r="D13" s="7">
        <f t="shared" si="1"/>
        <v>20</v>
      </c>
      <c r="E13" s="17">
        <f t="shared" si="0"/>
        <v>110</v>
      </c>
    </row>
    <row r="14" spans="1:5" ht="14.25" customHeight="1" x14ac:dyDescent="0.25">
      <c r="B14" s="4">
        <v>10</v>
      </c>
      <c r="C14" s="6">
        <v>689</v>
      </c>
      <c r="D14" s="7">
        <f t="shared" si="1"/>
        <v>30</v>
      </c>
      <c r="E14" s="17">
        <f t="shared" si="0"/>
        <v>140</v>
      </c>
    </row>
    <row r="15" spans="1:5" x14ac:dyDescent="0.25">
      <c r="B15" s="4">
        <v>11</v>
      </c>
      <c r="C15" s="6">
        <v>692</v>
      </c>
      <c r="D15" s="7">
        <f t="shared" si="1"/>
        <v>30</v>
      </c>
      <c r="E15" s="17">
        <f t="shared" si="0"/>
        <v>170</v>
      </c>
    </row>
    <row r="16" spans="1:5" x14ac:dyDescent="0.25">
      <c r="A16" s="2">
        <v>0</v>
      </c>
      <c r="B16" s="4">
        <v>12</v>
      </c>
      <c r="C16" s="6">
        <v>695</v>
      </c>
      <c r="D16" s="7">
        <f t="shared" si="1"/>
        <v>30</v>
      </c>
      <c r="E16" s="17">
        <f t="shared" si="0"/>
        <v>200</v>
      </c>
    </row>
    <row r="17" spans="1:5" x14ac:dyDescent="0.25">
      <c r="B17" s="4">
        <v>13</v>
      </c>
      <c r="C17" s="6">
        <v>698</v>
      </c>
      <c r="D17" s="7">
        <f t="shared" si="1"/>
        <v>30</v>
      </c>
      <c r="E17" s="17">
        <f t="shared" si="0"/>
        <v>230</v>
      </c>
    </row>
    <row r="18" spans="1:5" ht="14.25" customHeight="1" x14ac:dyDescent="0.25">
      <c r="A18" s="3" t="s">
        <v>4</v>
      </c>
      <c r="B18" s="4">
        <v>14</v>
      </c>
      <c r="C18" s="6">
        <v>701</v>
      </c>
      <c r="D18" s="7">
        <f t="shared" si="1"/>
        <v>30</v>
      </c>
      <c r="E18" s="17">
        <f t="shared" si="0"/>
        <v>260</v>
      </c>
    </row>
    <row r="19" spans="1:5" x14ac:dyDescent="0.25">
      <c r="B19" s="4">
        <v>15</v>
      </c>
      <c r="C19" s="6">
        <v>703</v>
      </c>
      <c r="D19" s="7">
        <f t="shared" si="1"/>
        <v>20</v>
      </c>
      <c r="E19" s="17">
        <f t="shared" si="0"/>
        <v>280</v>
      </c>
    </row>
    <row r="20" spans="1:5" x14ac:dyDescent="0.25">
      <c r="A20" s="2">
        <v>0</v>
      </c>
      <c r="B20" s="4">
        <v>16</v>
      </c>
      <c r="C20" s="6">
        <v>705</v>
      </c>
      <c r="D20" s="7">
        <f t="shared" si="1"/>
        <v>20</v>
      </c>
      <c r="E20" s="17">
        <f t="shared" si="0"/>
        <v>300</v>
      </c>
    </row>
    <row r="21" spans="1:5" x14ac:dyDescent="0.25">
      <c r="B21" s="4">
        <v>17</v>
      </c>
      <c r="C21" s="6">
        <v>707</v>
      </c>
      <c r="D21" s="7">
        <f t="shared" si="1"/>
        <v>20</v>
      </c>
      <c r="E21" s="17">
        <f t="shared" si="0"/>
        <v>320</v>
      </c>
    </row>
    <row r="22" spans="1:5" x14ac:dyDescent="0.25">
      <c r="B22" s="4">
        <v>18</v>
      </c>
      <c r="C22" s="6">
        <v>709</v>
      </c>
      <c r="D22" s="7">
        <f t="shared" si="1"/>
        <v>20</v>
      </c>
      <c r="E22" s="17">
        <f t="shared" si="0"/>
        <v>340</v>
      </c>
    </row>
    <row r="23" spans="1:5" x14ac:dyDescent="0.25">
      <c r="B23" s="4">
        <v>19</v>
      </c>
      <c r="C23" s="6">
        <v>712</v>
      </c>
      <c r="D23" s="7">
        <f t="shared" si="1"/>
        <v>30</v>
      </c>
      <c r="E23" s="17">
        <f t="shared" si="0"/>
        <v>370</v>
      </c>
    </row>
    <row r="24" spans="1:5" x14ac:dyDescent="0.25">
      <c r="B24" s="4">
        <v>20</v>
      </c>
      <c r="C24" s="6">
        <v>714</v>
      </c>
      <c r="D24" s="7">
        <f t="shared" si="1"/>
        <v>20</v>
      </c>
      <c r="E24" s="17">
        <f t="shared" si="0"/>
        <v>390</v>
      </c>
    </row>
    <row r="25" spans="1:5" x14ac:dyDescent="0.25">
      <c r="B25" s="4">
        <v>21</v>
      </c>
      <c r="C25" s="6">
        <v>716</v>
      </c>
      <c r="D25" s="7">
        <f t="shared" si="1"/>
        <v>20</v>
      </c>
      <c r="E25" s="17">
        <f t="shared" si="0"/>
        <v>410</v>
      </c>
    </row>
    <row r="26" spans="1:5" x14ac:dyDescent="0.25">
      <c r="B26" s="4">
        <v>22</v>
      </c>
      <c r="C26" s="8">
        <v>719</v>
      </c>
      <c r="D26" s="7">
        <f t="shared" si="1"/>
        <v>30</v>
      </c>
      <c r="E26" s="17">
        <f t="shared" si="0"/>
        <v>440</v>
      </c>
    </row>
    <row r="27" spans="1:5" x14ac:dyDescent="0.25">
      <c r="A27" s="2" t="s">
        <v>5</v>
      </c>
      <c r="B27" s="4">
        <v>23</v>
      </c>
      <c r="C27" s="8">
        <v>719</v>
      </c>
      <c r="D27" s="7">
        <f t="shared" si="1"/>
        <v>0</v>
      </c>
      <c r="E27" s="17">
        <f t="shared" si="0"/>
        <v>440</v>
      </c>
    </row>
    <row r="28" spans="1:5" ht="12.75" customHeight="1" x14ac:dyDescent="0.25">
      <c r="B28" s="4">
        <v>24</v>
      </c>
      <c r="C28" s="8">
        <v>719</v>
      </c>
      <c r="D28" s="7">
        <f t="shared" si="1"/>
        <v>0</v>
      </c>
      <c r="E28" s="17">
        <f t="shared" si="0"/>
        <v>440</v>
      </c>
    </row>
    <row r="29" spans="1:5" ht="15.6" x14ac:dyDescent="0.25">
      <c r="B29" s="12" t="s">
        <v>6</v>
      </c>
      <c r="C29" s="9">
        <f>MAX(C5:C28)</f>
        <v>719</v>
      </c>
      <c r="D29" s="10">
        <f>MAX(D5:D28)</f>
        <v>30</v>
      </c>
      <c r="E29" s="10">
        <f>MAX(E5:E28)</f>
        <v>440</v>
      </c>
    </row>
    <row r="30" spans="1:5" ht="15.6" x14ac:dyDescent="0.25">
      <c r="B30" s="12" t="s">
        <v>7</v>
      </c>
      <c r="C30" s="9">
        <f>MIN(C5:C28)</f>
        <v>675</v>
      </c>
      <c r="D30" s="10">
        <f>MIN(D5:D28)</f>
        <v>0</v>
      </c>
      <c r="E30" s="10">
        <f>MIN(E5:E28)</f>
        <v>0</v>
      </c>
    </row>
    <row r="31" spans="1:5" ht="15.6" x14ac:dyDescent="0.25">
      <c r="B31" s="13" t="s">
        <v>8</v>
      </c>
      <c r="C31" s="9">
        <f>AVERAGE(C5:C28)</f>
        <v>696.16666666666663</v>
      </c>
      <c r="D31" s="10">
        <f>AVERAGE(D5:D28)</f>
        <v>18.333333333333332</v>
      </c>
      <c r="E31" s="10">
        <f>AVERAGE(E5:E28)</f>
        <v>211.66666666666666</v>
      </c>
    </row>
    <row r="32" spans="1:5" ht="15.75" customHeight="1" thickBot="1" x14ac:dyDescent="0.3">
      <c r="B32" s="14" t="s">
        <v>9</v>
      </c>
      <c r="C32" s="15">
        <f>SUM(C5:C28)</f>
        <v>16708</v>
      </c>
      <c r="D32" s="15">
        <f>SUM(D5:D28)</f>
        <v>440</v>
      </c>
      <c r="E32" s="15">
        <f>SUM(E5:E28)</f>
        <v>5080</v>
      </c>
    </row>
    <row r="33" spans="2:2" hidden="1" x14ac:dyDescent="0.25"/>
    <row r="34" spans="2:2" hidden="1" x14ac:dyDescent="0.25"/>
    <row r="35" spans="2:2" hidden="1" x14ac:dyDescent="0.25"/>
    <row r="36" spans="2:2" hidden="1" x14ac:dyDescent="0.25"/>
    <row r="37" spans="2:2" hidden="1" x14ac:dyDescent="0.25"/>
    <row r="38" spans="2:2" hidden="1" x14ac:dyDescent="0.25"/>
    <row r="41" spans="2:2" x14ac:dyDescent="0.25">
      <c r="B41" s="2" t="s">
        <v>10</v>
      </c>
    </row>
  </sheetData>
  <mergeCells count="2">
    <mergeCell ref="B1:E2"/>
    <mergeCell ref="C3:D3"/>
  </mergeCells>
  <pageMargins left="0.7" right="0.7" top="0.75" bottom="0.75" header="0.3" footer="0.3"/>
  <pageSetup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13E62-0079-4E5A-9C20-AC207A9A9836}">
  <sheetPr codeName="Hoja18">
    <tabColor rgb="FFFFFF00"/>
  </sheetPr>
  <dimension ref="A1:E41"/>
  <sheetViews>
    <sheetView topLeftCell="A4" zoomScale="120" zoomScaleNormal="120" workbookViewId="0">
      <selection activeCell="D6" sqref="D6"/>
    </sheetView>
  </sheetViews>
  <sheetFormatPr baseColWidth="10" defaultColWidth="11.44140625" defaultRowHeight="13.2" x14ac:dyDescent="0.25"/>
  <cols>
    <col min="1" max="1" width="1.6640625" style="2" customWidth="1"/>
    <col min="2" max="2" width="11.44140625" style="2" customWidth="1"/>
    <col min="3" max="3" width="11.6640625" style="2" customWidth="1"/>
    <col min="4" max="4" width="22" style="2" customWidth="1"/>
    <col min="5" max="5" width="28.5546875" style="2" customWidth="1"/>
    <col min="6" max="16384" width="11.44140625" style="2"/>
  </cols>
  <sheetData>
    <row r="1" spans="1:5" s="1" customFormat="1" ht="12.75" customHeight="1" x14ac:dyDescent="0.3">
      <c r="B1" s="31" t="s">
        <v>12</v>
      </c>
      <c r="C1" s="32"/>
      <c r="D1" s="32"/>
      <c r="E1" s="32"/>
    </row>
    <row r="2" spans="1:5" ht="25.5" customHeight="1" thickBot="1" x14ac:dyDescent="0.3">
      <c r="B2" s="33"/>
      <c r="C2" s="34"/>
      <c r="D2" s="34"/>
      <c r="E2" s="34"/>
    </row>
    <row r="3" spans="1:5" x14ac:dyDescent="0.25">
      <c r="B3" s="11" t="s">
        <v>0</v>
      </c>
      <c r="C3" s="26">
        <v>46153</v>
      </c>
      <c r="D3" s="26"/>
      <c r="E3" s="18"/>
    </row>
    <row r="4" spans="1:5" ht="18" customHeight="1" x14ac:dyDescent="0.25">
      <c r="A4" s="2">
        <v>0</v>
      </c>
      <c r="B4" s="23" t="s">
        <v>1</v>
      </c>
      <c r="C4" s="24" t="s">
        <v>2</v>
      </c>
      <c r="D4" s="24" t="s">
        <v>13</v>
      </c>
      <c r="E4" s="25" t="s">
        <v>11</v>
      </c>
    </row>
    <row r="5" spans="1:5" x14ac:dyDescent="0.25">
      <c r="B5" s="4">
        <v>1</v>
      </c>
      <c r="C5" s="6">
        <v>719</v>
      </c>
      <c r="D5" s="7">
        <f>C5-'13-MAYO-2026  '!C28</f>
        <v>0</v>
      </c>
      <c r="E5" s="17">
        <f>+D5</f>
        <v>0</v>
      </c>
    </row>
    <row r="6" spans="1:5" ht="11.25" customHeight="1" x14ac:dyDescent="0.25">
      <c r="B6" s="4">
        <v>2</v>
      </c>
      <c r="C6" s="6">
        <v>719</v>
      </c>
      <c r="D6" s="7">
        <f>SUM(C6-C5)*10</f>
        <v>0</v>
      </c>
      <c r="E6" s="17">
        <f t="shared" ref="E6:E28" si="0">+D6+E5</f>
        <v>0</v>
      </c>
    </row>
    <row r="7" spans="1:5" ht="11.25" customHeight="1" x14ac:dyDescent="0.25">
      <c r="B7" s="4">
        <v>3</v>
      </c>
      <c r="C7" s="6">
        <v>719</v>
      </c>
      <c r="D7" s="7">
        <f t="shared" ref="D7:D28" si="1">SUM(C7-C6)*10</f>
        <v>0</v>
      </c>
      <c r="E7" s="17">
        <f t="shared" si="0"/>
        <v>0</v>
      </c>
    </row>
    <row r="8" spans="1:5" ht="12" customHeight="1" x14ac:dyDescent="0.25">
      <c r="B8" s="4">
        <v>4</v>
      </c>
      <c r="C8" s="6">
        <v>719</v>
      </c>
      <c r="D8" s="7">
        <f>SUM(C8-C7)*10</f>
        <v>0</v>
      </c>
      <c r="E8" s="17">
        <f>+D8+E7</f>
        <v>0</v>
      </c>
    </row>
    <row r="9" spans="1:5" x14ac:dyDescent="0.25">
      <c r="A9" s="2">
        <v>0</v>
      </c>
      <c r="B9" s="4">
        <v>5</v>
      </c>
      <c r="C9" s="6">
        <v>721</v>
      </c>
      <c r="D9" s="7">
        <f t="shared" si="1"/>
        <v>20</v>
      </c>
      <c r="E9" s="17">
        <f t="shared" si="0"/>
        <v>20</v>
      </c>
    </row>
    <row r="10" spans="1:5" ht="15" customHeight="1" x14ac:dyDescent="0.25">
      <c r="A10" s="2" t="s">
        <v>3</v>
      </c>
      <c r="B10" s="4">
        <v>6</v>
      </c>
      <c r="C10" s="6">
        <v>723</v>
      </c>
      <c r="D10" s="7">
        <f t="shared" si="1"/>
        <v>20</v>
      </c>
      <c r="E10" s="17">
        <f t="shared" si="0"/>
        <v>40</v>
      </c>
    </row>
    <row r="11" spans="1:5" ht="12" customHeight="1" x14ac:dyDescent="0.25">
      <c r="B11" s="4">
        <v>7</v>
      </c>
      <c r="C11" s="6">
        <v>726</v>
      </c>
      <c r="D11" s="7">
        <f t="shared" si="1"/>
        <v>30</v>
      </c>
      <c r="E11" s="17">
        <f t="shared" si="0"/>
        <v>70</v>
      </c>
    </row>
    <row r="12" spans="1:5" ht="15.75" customHeight="1" x14ac:dyDescent="0.25">
      <c r="A12" s="2">
        <v>0</v>
      </c>
      <c r="B12" s="4">
        <v>8</v>
      </c>
      <c r="C12" s="6">
        <v>728</v>
      </c>
      <c r="D12" s="7">
        <f t="shared" si="1"/>
        <v>20</v>
      </c>
      <c r="E12" s="17">
        <f t="shared" si="0"/>
        <v>90</v>
      </c>
    </row>
    <row r="13" spans="1:5" ht="12" customHeight="1" x14ac:dyDescent="0.25">
      <c r="B13" s="4">
        <v>9</v>
      </c>
      <c r="C13" s="6">
        <v>730</v>
      </c>
      <c r="D13" s="7">
        <f t="shared" si="1"/>
        <v>20</v>
      </c>
      <c r="E13" s="17">
        <f t="shared" si="0"/>
        <v>110</v>
      </c>
    </row>
    <row r="14" spans="1:5" ht="14.25" customHeight="1" x14ac:dyDescent="0.25">
      <c r="B14" s="4">
        <v>10</v>
      </c>
      <c r="C14" s="6">
        <v>732</v>
      </c>
      <c r="D14" s="7">
        <f t="shared" si="1"/>
        <v>20</v>
      </c>
      <c r="E14" s="17">
        <f t="shared" si="0"/>
        <v>130</v>
      </c>
    </row>
    <row r="15" spans="1:5" x14ac:dyDescent="0.25">
      <c r="B15" s="4">
        <v>11</v>
      </c>
      <c r="C15" s="6">
        <v>734</v>
      </c>
      <c r="D15" s="7">
        <f t="shared" si="1"/>
        <v>20</v>
      </c>
      <c r="E15" s="17">
        <f t="shared" si="0"/>
        <v>150</v>
      </c>
    </row>
    <row r="16" spans="1:5" x14ac:dyDescent="0.25">
      <c r="A16" s="2">
        <v>0</v>
      </c>
      <c r="B16" s="4">
        <v>12</v>
      </c>
      <c r="C16" s="6">
        <v>736</v>
      </c>
      <c r="D16" s="7">
        <f t="shared" si="1"/>
        <v>20</v>
      </c>
      <c r="E16" s="17">
        <f t="shared" si="0"/>
        <v>170</v>
      </c>
    </row>
    <row r="17" spans="1:5" x14ac:dyDescent="0.25">
      <c r="B17" s="4">
        <v>13</v>
      </c>
      <c r="C17" s="6">
        <v>738</v>
      </c>
      <c r="D17" s="7">
        <f t="shared" si="1"/>
        <v>20</v>
      </c>
      <c r="E17" s="17">
        <f t="shared" si="0"/>
        <v>190</v>
      </c>
    </row>
    <row r="18" spans="1:5" ht="14.25" customHeight="1" x14ac:dyDescent="0.25">
      <c r="A18" s="3" t="s">
        <v>4</v>
      </c>
      <c r="B18" s="4">
        <v>14</v>
      </c>
      <c r="C18" s="6">
        <v>740</v>
      </c>
      <c r="D18" s="7">
        <f t="shared" si="1"/>
        <v>20</v>
      </c>
      <c r="E18" s="17">
        <f t="shared" si="0"/>
        <v>210</v>
      </c>
    </row>
    <row r="19" spans="1:5" x14ac:dyDescent="0.25">
      <c r="B19" s="4">
        <v>15</v>
      </c>
      <c r="C19" s="6">
        <v>742</v>
      </c>
      <c r="D19" s="7">
        <f t="shared" si="1"/>
        <v>20</v>
      </c>
      <c r="E19" s="17">
        <f t="shared" si="0"/>
        <v>230</v>
      </c>
    </row>
    <row r="20" spans="1:5" x14ac:dyDescent="0.25">
      <c r="A20" s="2">
        <v>0</v>
      </c>
      <c r="B20" s="4">
        <v>16</v>
      </c>
      <c r="C20" s="6">
        <v>744</v>
      </c>
      <c r="D20" s="7">
        <f t="shared" si="1"/>
        <v>20</v>
      </c>
      <c r="E20" s="17">
        <f t="shared" si="0"/>
        <v>250</v>
      </c>
    </row>
    <row r="21" spans="1:5" x14ac:dyDescent="0.25">
      <c r="B21" s="4">
        <v>17</v>
      </c>
      <c r="C21" s="6">
        <v>746</v>
      </c>
      <c r="D21" s="7">
        <f t="shared" si="1"/>
        <v>20</v>
      </c>
      <c r="E21" s="17">
        <f t="shared" si="0"/>
        <v>270</v>
      </c>
    </row>
    <row r="22" spans="1:5" x14ac:dyDescent="0.25">
      <c r="B22" s="4">
        <v>18</v>
      </c>
      <c r="C22" s="6">
        <v>748</v>
      </c>
      <c r="D22" s="7">
        <f t="shared" si="1"/>
        <v>20</v>
      </c>
      <c r="E22" s="17">
        <f t="shared" si="0"/>
        <v>290</v>
      </c>
    </row>
    <row r="23" spans="1:5" x14ac:dyDescent="0.25">
      <c r="B23" s="4">
        <v>19</v>
      </c>
      <c r="C23" s="6">
        <v>753</v>
      </c>
      <c r="D23" s="7">
        <f t="shared" si="1"/>
        <v>50</v>
      </c>
      <c r="E23" s="17">
        <f t="shared" si="0"/>
        <v>340</v>
      </c>
    </row>
    <row r="24" spans="1:5" x14ac:dyDescent="0.25">
      <c r="B24" s="4">
        <v>20</v>
      </c>
      <c r="C24" s="6">
        <v>756</v>
      </c>
      <c r="D24" s="7">
        <f t="shared" si="1"/>
        <v>30</v>
      </c>
      <c r="E24" s="17">
        <f t="shared" si="0"/>
        <v>370</v>
      </c>
    </row>
    <row r="25" spans="1:5" x14ac:dyDescent="0.25">
      <c r="B25" s="4">
        <v>21</v>
      </c>
      <c r="C25" s="6">
        <v>759</v>
      </c>
      <c r="D25" s="7">
        <f t="shared" si="1"/>
        <v>30</v>
      </c>
      <c r="E25" s="17">
        <f t="shared" si="0"/>
        <v>400</v>
      </c>
    </row>
    <row r="26" spans="1:5" x14ac:dyDescent="0.25">
      <c r="B26" s="4">
        <v>22</v>
      </c>
      <c r="C26" s="8">
        <v>763</v>
      </c>
      <c r="D26" s="7">
        <f t="shared" si="1"/>
        <v>40</v>
      </c>
      <c r="E26" s="17">
        <f t="shared" si="0"/>
        <v>440</v>
      </c>
    </row>
    <row r="27" spans="1:5" x14ac:dyDescent="0.25">
      <c r="A27" s="2" t="s">
        <v>5</v>
      </c>
      <c r="B27" s="4">
        <v>23</v>
      </c>
      <c r="C27" s="8">
        <v>763</v>
      </c>
      <c r="D27" s="7">
        <f t="shared" si="1"/>
        <v>0</v>
      </c>
      <c r="E27" s="17">
        <f t="shared" si="0"/>
        <v>440</v>
      </c>
    </row>
    <row r="28" spans="1:5" ht="12.75" customHeight="1" x14ac:dyDescent="0.25">
      <c r="B28" s="4">
        <v>24</v>
      </c>
      <c r="C28" s="8">
        <v>763</v>
      </c>
      <c r="D28" s="7">
        <f t="shared" si="1"/>
        <v>0</v>
      </c>
      <c r="E28" s="17">
        <f t="shared" si="0"/>
        <v>440</v>
      </c>
    </row>
    <row r="29" spans="1:5" ht="15.6" x14ac:dyDescent="0.25">
      <c r="B29" s="12" t="s">
        <v>6</v>
      </c>
      <c r="C29" s="9">
        <f>MAX(C5:C28)</f>
        <v>763</v>
      </c>
      <c r="D29" s="10">
        <f>MAX(D5:D28)</f>
        <v>50</v>
      </c>
      <c r="E29" s="10">
        <f>MAX(E5:E28)</f>
        <v>440</v>
      </c>
    </row>
    <row r="30" spans="1:5" ht="15.6" x14ac:dyDescent="0.25">
      <c r="B30" s="12" t="s">
        <v>7</v>
      </c>
      <c r="C30" s="9">
        <f>MIN(C5:C28)</f>
        <v>719</v>
      </c>
      <c r="D30" s="10">
        <f>MIN(D5:D28)</f>
        <v>0</v>
      </c>
      <c r="E30" s="10">
        <f>MIN(E5:E28)</f>
        <v>0</v>
      </c>
    </row>
    <row r="31" spans="1:5" ht="15.6" x14ac:dyDescent="0.25">
      <c r="B31" s="13" t="s">
        <v>8</v>
      </c>
      <c r="C31" s="9">
        <f>AVERAGE(C5:C28)</f>
        <v>738.375</v>
      </c>
      <c r="D31" s="10">
        <f>AVERAGE(D5:D28)</f>
        <v>18.333333333333332</v>
      </c>
      <c r="E31" s="10">
        <f>AVERAGE(E5:E28)</f>
        <v>193.75</v>
      </c>
    </row>
    <row r="32" spans="1:5" ht="15.75" customHeight="1" thickBot="1" x14ac:dyDescent="0.3">
      <c r="B32" s="14" t="s">
        <v>9</v>
      </c>
      <c r="C32" s="15">
        <f>SUM(C5:C28)</f>
        <v>17721</v>
      </c>
      <c r="D32" s="15">
        <f>SUM(D5:D28)</f>
        <v>440</v>
      </c>
      <c r="E32" s="15">
        <f>SUM(E5:E28)</f>
        <v>4650</v>
      </c>
    </row>
    <row r="33" spans="2:2" hidden="1" x14ac:dyDescent="0.25"/>
    <row r="34" spans="2:2" hidden="1" x14ac:dyDescent="0.25"/>
    <row r="35" spans="2:2" hidden="1" x14ac:dyDescent="0.25"/>
    <row r="36" spans="2:2" hidden="1" x14ac:dyDescent="0.25"/>
    <row r="37" spans="2:2" hidden="1" x14ac:dyDescent="0.25"/>
    <row r="38" spans="2:2" hidden="1" x14ac:dyDescent="0.25"/>
    <row r="41" spans="2:2" x14ac:dyDescent="0.25">
      <c r="B41" s="2" t="s">
        <v>10</v>
      </c>
    </row>
  </sheetData>
  <mergeCells count="2">
    <mergeCell ref="B1:E2"/>
    <mergeCell ref="C3:D3"/>
  </mergeCells>
  <pageMargins left="0.7" right="0.7" top="0.75" bottom="0.75" header="0.3" footer="0.3"/>
  <pageSetup orientation="portrait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CC53B-FF57-4758-A7AD-3F6005CE7B65}">
  <sheetPr codeName="Hoja19">
    <tabColor rgb="FFFFFF00"/>
  </sheetPr>
  <dimension ref="A1:E41"/>
  <sheetViews>
    <sheetView zoomScale="120" zoomScaleNormal="120" workbookViewId="0">
      <selection activeCell="D6" sqref="D6"/>
    </sheetView>
  </sheetViews>
  <sheetFormatPr baseColWidth="10" defaultColWidth="11.44140625" defaultRowHeight="13.2" x14ac:dyDescent="0.25"/>
  <cols>
    <col min="1" max="1" width="1.6640625" style="2" customWidth="1"/>
    <col min="2" max="2" width="11.44140625" style="2" customWidth="1"/>
    <col min="3" max="3" width="11.6640625" style="2" customWidth="1"/>
    <col min="4" max="4" width="22" style="2" customWidth="1"/>
    <col min="5" max="5" width="28.5546875" style="2" customWidth="1"/>
    <col min="6" max="16384" width="11.44140625" style="2"/>
  </cols>
  <sheetData>
    <row r="1" spans="1:5" s="1" customFormat="1" ht="12.75" customHeight="1" x14ac:dyDescent="0.3">
      <c r="B1" s="31" t="s">
        <v>12</v>
      </c>
      <c r="C1" s="32"/>
      <c r="D1" s="32"/>
      <c r="E1" s="32"/>
    </row>
    <row r="2" spans="1:5" ht="25.5" customHeight="1" thickBot="1" x14ac:dyDescent="0.3">
      <c r="B2" s="33"/>
      <c r="C2" s="34"/>
      <c r="D2" s="34"/>
      <c r="E2" s="34"/>
    </row>
    <row r="3" spans="1:5" x14ac:dyDescent="0.25">
      <c r="B3" s="11" t="s">
        <v>0</v>
      </c>
      <c r="C3" s="26">
        <v>46153</v>
      </c>
      <c r="D3" s="26"/>
      <c r="E3" s="18"/>
    </row>
    <row r="4" spans="1:5" ht="18" customHeight="1" x14ac:dyDescent="0.25">
      <c r="A4" s="2">
        <v>0</v>
      </c>
      <c r="B4" s="23" t="s">
        <v>1</v>
      </c>
      <c r="C4" s="24" t="s">
        <v>2</v>
      </c>
      <c r="D4" s="24" t="s">
        <v>13</v>
      </c>
      <c r="E4" s="25" t="s">
        <v>11</v>
      </c>
    </row>
    <row r="5" spans="1:5" x14ac:dyDescent="0.25">
      <c r="B5" s="4">
        <v>1</v>
      </c>
      <c r="C5" s="6">
        <v>763</v>
      </c>
      <c r="D5" s="7">
        <f>C5-'14-MAYO-2026 '!C28</f>
        <v>0</v>
      </c>
      <c r="E5" s="17">
        <f>+D5</f>
        <v>0</v>
      </c>
    </row>
    <row r="6" spans="1:5" ht="11.25" customHeight="1" x14ac:dyDescent="0.25">
      <c r="B6" s="4">
        <v>2</v>
      </c>
      <c r="C6" s="6">
        <v>763</v>
      </c>
      <c r="D6" s="7">
        <f>SUM(C6-C5)*10</f>
        <v>0</v>
      </c>
      <c r="E6" s="17">
        <f t="shared" ref="E6:E28" si="0">+D6+E5</f>
        <v>0</v>
      </c>
    </row>
    <row r="7" spans="1:5" ht="11.25" customHeight="1" x14ac:dyDescent="0.25">
      <c r="B7" s="4">
        <v>3</v>
      </c>
      <c r="C7" s="6">
        <v>763</v>
      </c>
      <c r="D7" s="7">
        <f t="shared" ref="D7:D28" si="1">SUM(C7-C6)*10</f>
        <v>0</v>
      </c>
      <c r="E7" s="17">
        <f t="shared" si="0"/>
        <v>0</v>
      </c>
    </row>
    <row r="8" spans="1:5" ht="12" customHeight="1" x14ac:dyDescent="0.25">
      <c r="B8" s="4">
        <v>4</v>
      </c>
      <c r="C8" s="6">
        <v>763</v>
      </c>
      <c r="D8" s="7">
        <f>SUM(C8-C7)*10</f>
        <v>0</v>
      </c>
      <c r="E8" s="17">
        <f>+D8+E7</f>
        <v>0</v>
      </c>
    </row>
    <row r="9" spans="1:5" x14ac:dyDescent="0.25">
      <c r="A9" s="2">
        <v>0</v>
      </c>
      <c r="B9" s="4">
        <v>5</v>
      </c>
      <c r="C9" s="6">
        <v>765</v>
      </c>
      <c r="D9" s="7">
        <f t="shared" si="1"/>
        <v>20</v>
      </c>
      <c r="E9" s="17">
        <f t="shared" si="0"/>
        <v>20</v>
      </c>
    </row>
    <row r="10" spans="1:5" ht="15" customHeight="1" x14ac:dyDescent="0.25">
      <c r="A10" s="2" t="s">
        <v>3</v>
      </c>
      <c r="B10" s="4">
        <v>6</v>
      </c>
      <c r="C10" s="6">
        <v>767</v>
      </c>
      <c r="D10" s="7">
        <f t="shared" si="1"/>
        <v>20</v>
      </c>
      <c r="E10" s="17">
        <f t="shared" si="0"/>
        <v>40</v>
      </c>
    </row>
    <row r="11" spans="1:5" ht="12" customHeight="1" x14ac:dyDescent="0.25">
      <c r="B11" s="4">
        <v>7</v>
      </c>
      <c r="C11" s="6">
        <v>768</v>
      </c>
      <c r="D11" s="7">
        <f t="shared" si="1"/>
        <v>10</v>
      </c>
      <c r="E11" s="17">
        <f t="shared" si="0"/>
        <v>50</v>
      </c>
    </row>
    <row r="12" spans="1:5" ht="15.75" customHeight="1" x14ac:dyDescent="0.25">
      <c r="A12" s="2">
        <v>0</v>
      </c>
      <c r="B12" s="4">
        <v>8</v>
      </c>
      <c r="C12" s="6">
        <v>770</v>
      </c>
      <c r="D12" s="7">
        <f t="shared" si="1"/>
        <v>20</v>
      </c>
      <c r="E12" s="17">
        <f t="shared" si="0"/>
        <v>70</v>
      </c>
    </row>
    <row r="13" spans="1:5" ht="12" customHeight="1" x14ac:dyDescent="0.25">
      <c r="B13" s="4">
        <v>9</v>
      </c>
      <c r="C13" s="6">
        <v>772</v>
      </c>
      <c r="D13" s="7">
        <f t="shared" si="1"/>
        <v>20</v>
      </c>
      <c r="E13" s="17">
        <f t="shared" si="0"/>
        <v>90</v>
      </c>
    </row>
    <row r="14" spans="1:5" ht="14.25" customHeight="1" x14ac:dyDescent="0.25">
      <c r="B14" s="4">
        <v>10</v>
      </c>
      <c r="C14" s="6">
        <v>775</v>
      </c>
      <c r="D14" s="7">
        <f t="shared" si="1"/>
        <v>30</v>
      </c>
      <c r="E14" s="17">
        <f t="shared" si="0"/>
        <v>120</v>
      </c>
    </row>
    <row r="15" spans="1:5" x14ac:dyDescent="0.25">
      <c r="B15" s="4">
        <v>11</v>
      </c>
      <c r="C15" s="6">
        <v>779</v>
      </c>
      <c r="D15" s="7">
        <f t="shared" si="1"/>
        <v>40</v>
      </c>
      <c r="E15" s="17">
        <f t="shared" si="0"/>
        <v>160</v>
      </c>
    </row>
    <row r="16" spans="1:5" x14ac:dyDescent="0.25">
      <c r="A16" s="2">
        <v>0</v>
      </c>
      <c r="B16" s="4">
        <v>12</v>
      </c>
      <c r="C16" s="6">
        <v>783</v>
      </c>
      <c r="D16" s="7">
        <f t="shared" si="1"/>
        <v>40</v>
      </c>
      <c r="E16" s="17">
        <f t="shared" si="0"/>
        <v>200</v>
      </c>
    </row>
    <row r="17" spans="1:5" x14ac:dyDescent="0.25">
      <c r="B17" s="4">
        <v>13</v>
      </c>
      <c r="C17" s="6">
        <v>785</v>
      </c>
      <c r="D17" s="7">
        <f t="shared" si="1"/>
        <v>20</v>
      </c>
      <c r="E17" s="17">
        <f t="shared" si="0"/>
        <v>220</v>
      </c>
    </row>
    <row r="18" spans="1:5" ht="14.25" customHeight="1" x14ac:dyDescent="0.25">
      <c r="A18" s="3" t="s">
        <v>4</v>
      </c>
      <c r="B18" s="4">
        <v>14</v>
      </c>
      <c r="C18" s="6">
        <v>787</v>
      </c>
      <c r="D18" s="7">
        <f t="shared" si="1"/>
        <v>20</v>
      </c>
      <c r="E18" s="17">
        <f t="shared" si="0"/>
        <v>240</v>
      </c>
    </row>
    <row r="19" spans="1:5" x14ac:dyDescent="0.25">
      <c r="B19" s="4">
        <v>15</v>
      </c>
      <c r="C19" s="6">
        <v>791</v>
      </c>
      <c r="D19" s="7">
        <f t="shared" si="1"/>
        <v>40</v>
      </c>
      <c r="E19" s="17">
        <f t="shared" si="0"/>
        <v>280</v>
      </c>
    </row>
    <row r="20" spans="1:5" x14ac:dyDescent="0.25">
      <c r="A20" s="2">
        <v>0</v>
      </c>
      <c r="B20" s="4">
        <v>16</v>
      </c>
      <c r="C20" s="6">
        <v>794</v>
      </c>
      <c r="D20" s="7">
        <f t="shared" si="1"/>
        <v>30</v>
      </c>
      <c r="E20" s="17">
        <f t="shared" si="0"/>
        <v>310</v>
      </c>
    </row>
    <row r="21" spans="1:5" x14ac:dyDescent="0.25">
      <c r="B21" s="4">
        <v>17</v>
      </c>
      <c r="C21" s="6">
        <v>797</v>
      </c>
      <c r="D21" s="7">
        <f t="shared" si="1"/>
        <v>30</v>
      </c>
      <c r="E21" s="17">
        <f t="shared" si="0"/>
        <v>340</v>
      </c>
    </row>
    <row r="22" spans="1:5" x14ac:dyDescent="0.25">
      <c r="B22" s="4">
        <v>18</v>
      </c>
      <c r="C22" s="6">
        <v>800</v>
      </c>
      <c r="D22" s="7">
        <f t="shared" si="1"/>
        <v>30</v>
      </c>
      <c r="E22" s="17">
        <f t="shared" si="0"/>
        <v>370</v>
      </c>
    </row>
    <row r="23" spans="1:5" x14ac:dyDescent="0.25">
      <c r="B23" s="4">
        <v>19</v>
      </c>
      <c r="C23" s="6">
        <v>802</v>
      </c>
      <c r="D23" s="7">
        <f t="shared" si="1"/>
        <v>20</v>
      </c>
      <c r="E23" s="17">
        <f t="shared" si="0"/>
        <v>390</v>
      </c>
    </row>
    <row r="24" spans="1:5" x14ac:dyDescent="0.25">
      <c r="B24" s="4">
        <v>20</v>
      </c>
      <c r="C24" s="6">
        <v>804</v>
      </c>
      <c r="D24" s="7">
        <f t="shared" si="1"/>
        <v>20</v>
      </c>
      <c r="E24" s="17">
        <f t="shared" si="0"/>
        <v>410</v>
      </c>
    </row>
    <row r="25" spans="1:5" x14ac:dyDescent="0.25">
      <c r="B25" s="4">
        <v>21</v>
      </c>
      <c r="C25" s="6">
        <v>806</v>
      </c>
      <c r="D25" s="7">
        <f t="shared" si="1"/>
        <v>20</v>
      </c>
      <c r="E25" s="17">
        <f t="shared" si="0"/>
        <v>430</v>
      </c>
    </row>
    <row r="26" spans="1:5" x14ac:dyDescent="0.25">
      <c r="B26" s="4">
        <v>22</v>
      </c>
      <c r="C26" s="8">
        <v>808</v>
      </c>
      <c r="D26" s="7">
        <f t="shared" si="1"/>
        <v>20</v>
      </c>
      <c r="E26" s="17">
        <f t="shared" si="0"/>
        <v>450</v>
      </c>
    </row>
    <row r="27" spans="1:5" x14ac:dyDescent="0.25">
      <c r="A27" s="2" t="s">
        <v>5</v>
      </c>
      <c r="B27" s="4">
        <v>23</v>
      </c>
      <c r="C27" s="8">
        <v>808</v>
      </c>
      <c r="D27" s="7">
        <f t="shared" si="1"/>
        <v>0</v>
      </c>
      <c r="E27" s="17">
        <f t="shared" si="0"/>
        <v>450</v>
      </c>
    </row>
    <row r="28" spans="1:5" ht="12.75" customHeight="1" x14ac:dyDescent="0.25">
      <c r="B28" s="4">
        <v>24</v>
      </c>
      <c r="C28" s="8">
        <v>808</v>
      </c>
      <c r="D28" s="7">
        <f t="shared" si="1"/>
        <v>0</v>
      </c>
      <c r="E28" s="17">
        <f t="shared" si="0"/>
        <v>450</v>
      </c>
    </row>
    <row r="29" spans="1:5" ht="15.6" x14ac:dyDescent="0.25">
      <c r="B29" s="12" t="s">
        <v>6</v>
      </c>
      <c r="C29" s="9">
        <f>MAX(C5:C28)</f>
        <v>808</v>
      </c>
      <c r="D29" s="10">
        <f>MAX(D5:D28)</f>
        <v>40</v>
      </c>
      <c r="E29" s="10">
        <f>MAX(E5:E28)</f>
        <v>450</v>
      </c>
    </row>
    <row r="30" spans="1:5" ht="15.6" x14ac:dyDescent="0.25">
      <c r="B30" s="12" t="s">
        <v>7</v>
      </c>
      <c r="C30" s="9">
        <f>MIN(C5:C28)</f>
        <v>763</v>
      </c>
      <c r="D30" s="10">
        <f>MIN(D5:D28)</f>
        <v>0</v>
      </c>
      <c r="E30" s="10">
        <f>MIN(E5:E28)</f>
        <v>0</v>
      </c>
    </row>
    <row r="31" spans="1:5" ht="15.6" x14ac:dyDescent="0.25">
      <c r="B31" s="13" t="s">
        <v>8</v>
      </c>
      <c r="C31" s="9">
        <f>AVERAGE(C5:C28)</f>
        <v>784.20833333333337</v>
      </c>
      <c r="D31" s="10">
        <f>AVERAGE(D5:D28)</f>
        <v>18.75</v>
      </c>
      <c r="E31" s="10">
        <f>AVERAGE(E5:E28)</f>
        <v>212.08333333333334</v>
      </c>
    </row>
    <row r="32" spans="1:5" ht="15.75" customHeight="1" thickBot="1" x14ac:dyDescent="0.3">
      <c r="B32" s="14" t="s">
        <v>9</v>
      </c>
      <c r="C32" s="15">
        <f>SUM(C5:C28)</f>
        <v>18821</v>
      </c>
      <c r="D32" s="15">
        <f>SUM(D5:D28)</f>
        <v>450</v>
      </c>
      <c r="E32" s="15">
        <f>SUM(E5:E28)</f>
        <v>5090</v>
      </c>
    </row>
    <row r="33" spans="2:2" hidden="1" x14ac:dyDescent="0.25"/>
    <row r="34" spans="2:2" hidden="1" x14ac:dyDescent="0.25"/>
    <row r="35" spans="2:2" hidden="1" x14ac:dyDescent="0.25"/>
    <row r="36" spans="2:2" hidden="1" x14ac:dyDescent="0.25"/>
    <row r="37" spans="2:2" hidden="1" x14ac:dyDescent="0.25"/>
    <row r="38" spans="2:2" hidden="1" x14ac:dyDescent="0.25"/>
    <row r="41" spans="2:2" x14ac:dyDescent="0.25">
      <c r="B41" s="2" t="s">
        <v>10</v>
      </c>
    </row>
  </sheetData>
  <mergeCells count="2">
    <mergeCell ref="B1:E2"/>
    <mergeCell ref="C3:D3"/>
  </mergeCells>
  <pageMargins left="0.7" right="0.7" top="0.75" bottom="0.75" header="0.3" footer="0.3"/>
  <pageSetup orientation="portrait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1C954-01AF-45D9-8A3F-2FEE74FE990F}">
  <sheetPr codeName="Hoja20">
    <tabColor rgb="FFFFFF00"/>
  </sheetPr>
  <dimension ref="A1:E41"/>
  <sheetViews>
    <sheetView zoomScale="120" zoomScaleNormal="120" workbookViewId="0">
      <selection activeCell="D5" sqref="D5"/>
    </sheetView>
  </sheetViews>
  <sheetFormatPr baseColWidth="10" defaultColWidth="11.44140625" defaultRowHeight="13.2" x14ac:dyDescent="0.25"/>
  <cols>
    <col min="1" max="1" width="1.6640625" style="2" customWidth="1"/>
    <col min="2" max="2" width="11.44140625" style="2" customWidth="1"/>
    <col min="3" max="3" width="11.6640625" style="2" customWidth="1"/>
    <col min="4" max="4" width="22" style="2" customWidth="1"/>
    <col min="5" max="5" width="28.5546875" style="2" customWidth="1"/>
    <col min="6" max="16384" width="11.44140625" style="2"/>
  </cols>
  <sheetData>
    <row r="1" spans="1:5" s="1" customFormat="1" ht="12.75" customHeight="1" x14ac:dyDescent="0.3">
      <c r="B1" s="31" t="s">
        <v>12</v>
      </c>
      <c r="C1" s="32"/>
      <c r="D1" s="32"/>
      <c r="E1" s="32"/>
    </row>
    <row r="2" spans="1:5" ht="25.5" customHeight="1" thickBot="1" x14ac:dyDescent="0.3">
      <c r="B2" s="33"/>
      <c r="C2" s="34"/>
      <c r="D2" s="34"/>
      <c r="E2" s="34"/>
    </row>
    <row r="3" spans="1:5" x14ac:dyDescent="0.25">
      <c r="B3" s="11" t="s">
        <v>0</v>
      </c>
      <c r="C3" s="26">
        <v>46158</v>
      </c>
      <c r="D3" s="26"/>
      <c r="E3" s="18"/>
    </row>
    <row r="4" spans="1:5" ht="18" customHeight="1" x14ac:dyDescent="0.25">
      <c r="A4" s="2">
        <v>0</v>
      </c>
      <c r="B4" s="23" t="s">
        <v>1</v>
      </c>
      <c r="C4" s="24" t="s">
        <v>2</v>
      </c>
      <c r="D4" s="24" t="s">
        <v>13</v>
      </c>
      <c r="E4" s="25" t="s">
        <v>11</v>
      </c>
    </row>
    <row r="5" spans="1:5" x14ac:dyDescent="0.25">
      <c r="B5" s="4">
        <v>1</v>
      </c>
      <c r="C5" s="6">
        <v>808</v>
      </c>
      <c r="D5" s="7">
        <f>C5-808</f>
        <v>0</v>
      </c>
      <c r="E5" s="17">
        <f>+D5</f>
        <v>0</v>
      </c>
    </row>
    <row r="6" spans="1:5" ht="11.25" customHeight="1" x14ac:dyDescent="0.25">
      <c r="B6" s="4">
        <v>2</v>
      </c>
      <c r="C6" s="6">
        <v>808</v>
      </c>
      <c r="D6" s="7">
        <f>SUM(C6-C5)*10</f>
        <v>0</v>
      </c>
      <c r="E6" s="17">
        <f t="shared" ref="E6:E28" si="0">+D6+E5</f>
        <v>0</v>
      </c>
    </row>
    <row r="7" spans="1:5" ht="11.25" customHeight="1" x14ac:dyDescent="0.25">
      <c r="B7" s="4">
        <v>3</v>
      </c>
      <c r="C7" s="6">
        <v>808</v>
      </c>
      <c r="D7" s="7">
        <f t="shared" ref="D7:D28" si="1">SUM(C7-C6)*10</f>
        <v>0</v>
      </c>
      <c r="E7" s="17">
        <f t="shared" si="0"/>
        <v>0</v>
      </c>
    </row>
    <row r="8" spans="1:5" ht="12" customHeight="1" x14ac:dyDescent="0.25">
      <c r="B8" s="4">
        <v>4</v>
      </c>
      <c r="C8" s="6">
        <v>808</v>
      </c>
      <c r="D8" s="7">
        <f>SUM(C8-C7)*10</f>
        <v>0</v>
      </c>
      <c r="E8" s="17">
        <f>+D8+E7</f>
        <v>0</v>
      </c>
    </row>
    <row r="9" spans="1:5" x14ac:dyDescent="0.25">
      <c r="A9" s="2">
        <v>0</v>
      </c>
      <c r="B9" s="4">
        <v>5</v>
      </c>
      <c r="C9" s="6">
        <v>810</v>
      </c>
      <c r="D9" s="7">
        <f t="shared" si="1"/>
        <v>20</v>
      </c>
      <c r="E9" s="17">
        <f t="shared" si="0"/>
        <v>20</v>
      </c>
    </row>
    <row r="10" spans="1:5" ht="15" customHeight="1" x14ac:dyDescent="0.25">
      <c r="A10" s="2" t="s">
        <v>3</v>
      </c>
      <c r="B10" s="4">
        <v>6</v>
      </c>
      <c r="C10" s="6">
        <v>811</v>
      </c>
      <c r="D10" s="7">
        <f t="shared" si="1"/>
        <v>10</v>
      </c>
      <c r="E10" s="17">
        <f t="shared" si="0"/>
        <v>30</v>
      </c>
    </row>
    <row r="11" spans="1:5" ht="12" customHeight="1" x14ac:dyDescent="0.25">
      <c r="B11" s="4">
        <v>7</v>
      </c>
      <c r="C11" s="6">
        <v>813</v>
      </c>
      <c r="D11" s="7">
        <f t="shared" si="1"/>
        <v>20</v>
      </c>
      <c r="E11" s="17">
        <f t="shared" si="0"/>
        <v>50</v>
      </c>
    </row>
    <row r="12" spans="1:5" ht="15.75" customHeight="1" x14ac:dyDescent="0.25">
      <c r="A12" s="2">
        <v>0</v>
      </c>
      <c r="B12" s="4">
        <v>8</v>
      </c>
      <c r="C12" s="6">
        <v>815</v>
      </c>
      <c r="D12" s="7">
        <f t="shared" si="1"/>
        <v>20</v>
      </c>
      <c r="E12" s="17">
        <f t="shared" si="0"/>
        <v>70</v>
      </c>
    </row>
    <row r="13" spans="1:5" ht="12" customHeight="1" x14ac:dyDescent="0.25">
      <c r="B13" s="4">
        <v>9</v>
      </c>
      <c r="C13" s="6">
        <v>817</v>
      </c>
      <c r="D13" s="7">
        <f t="shared" si="1"/>
        <v>20</v>
      </c>
      <c r="E13" s="17">
        <f t="shared" si="0"/>
        <v>90</v>
      </c>
    </row>
    <row r="14" spans="1:5" ht="14.25" customHeight="1" x14ac:dyDescent="0.25">
      <c r="B14" s="4">
        <v>10</v>
      </c>
      <c r="C14" s="6">
        <v>820</v>
      </c>
      <c r="D14" s="7">
        <f t="shared" si="1"/>
        <v>30</v>
      </c>
      <c r="E14" s="17">
        <f t="shared" si="0"/>
        <v>120</v>
      </c>
    </row>
    <row r="15" spans="1:5" x14ac:dyDescent="0.25">
      <c r="B15" s="4">
        <v>11</v>
      </c>
      <c r="C15" s="6">
        <v>823</v>
      </c>
      <c r="D15" s="7">
        <f t="shared" si="1"/>
        <v>30</v>
      </c>
      <c r="E15" s="17">
        <f t="shared" si="0"/>
        <v>150</v>
      </c>
    </row>
    <row r="16" spans="1:5" x14ac:dyDescent="0.25">
      <c r="A16" s="2">
        <v>0</v>
      </c>
      <c r="B16" s="4">
        <v>12</v>
      </c>
      <c r="C16" s="6">
        <v>826</v>
      </c>
      <c r="D16" s="7">
        <f t="shared" si="1"/>
        <v>30</v>
      </c>
      <c r="E16" s="17">
        <f t="shared" si="0"/>
        <v>180</v>
      </c>
    </row>
    <row r="17" spans="1:5" x14ac:dyDescent="0.25">
      <c r="B17" s="4">
        <v>13</v>
      </c>
      <c r="C17" s="6">
        <v>828</v>
      </c>
      <c r="D17" s="7">
        <f t="shared" si="1"/>
        <v>20</v>
      </c>
      <c r="E17" s="17">
        <f t="shared" si="0"/>
        <v>200</v>
      </c>
    </row>
    <row r="18" spans="1:5" ht="14.25" customHeight="1" x14ac:dyDescent="0.25">
      <c r="A18" s="3" t="s">
        <v>4</v>
      </c>
      <c r="B18" s="4">
        <v>14</v>
      </c>
      <c r="C18" s="6">
        <v>830</v>
      </c>
      <c r="D18" s="7">
        <f t="shared" si="1"/>
        <v>20</v>
      </c>
      <c r="E18" s="17">
        <f t="shared" si="0"/>
        <v>220</v>
      </c>
    </row>
    <row r="19" spans="1:5" x14ac:dyDescent="0.25">
      <c r="B19" s="4">
        <v>15</v>
      </c>
      <c r="C19" s="6">
        <v>832</v>
      </c>
      <c r="D19" s="7">
        <f t="shared" si="1"/>
        <v>20</v>
      </c>
      <c r="E19" s="17">
        <f t="shared" si="0"/>
        <v>240</v>
      </c>
    </row>
    <row r="20" spans="1:5" x14ac:dyDescent="0.25">
      <c r="A20" s="2">
        <v>0</v>
      </c>
      <c r="B20" s="4">
        <v>16</v>
      </c>
      <c r="C20" s="6">
        <v>834</v>
      </c>
      <c r="D20" s="7">
        <f t="shared" si="1"/>
        <v>20</v>
      </c>
      <c r="E20" s="17">
        <f t="shared" si="0"/>
        <v>260</v>
      </c>
    </row>
    <row r="21" spans="1:5" x14ac:dyDescent="0.25">
      <c r="B21" s="4">
        <v>17</v>
      </c>
      <c r="C21" s="6">
        <v>836</v>
      </c>
      <c r="D21" s="7">
        <f t="shared" si="1"/>
        <v>20</v>
      </c>
      <c r="E21" s="17">
        <f t="shared" si="0"/>
        <v>280</v>
      </c>
    </row>
    <row r="22" spans="1:5" x14ac:dyDescent="0.25">
      <c r="B22" s="4">
        <v>18</v>
      </c>
      <c r="C22" s="6">
        <v>839</v>
      </c>
      <c r="D22" s="7">
        <f t="shared" si="1"/>
        <v>30</v>
      </c>
      <c r="E22" s="17">
        <f t="shared" si="0"/>
        <v>310</v>
      </c>
    </row>
    <row r="23" spans="1:5" x14ac:dyDescent="0.25">
      <c r="B23" s="4">
        <v>19</v>
      </c>
      <c r="C23" s="6">
        <v>841</v>
      </c>
      <c r="D23" s="7">
        <f t="shared" si="1"/>
        <v>20</v>
      </c>
      <c r="E23" s="17">
        <f t="shared" si="0"/>
        <v>330</v>
      </c>
    </row>
    <row r="24" spans="1:5" x14ac:dyDescent="0.25">
      <c r="B24" s="4">
        <v>20</v>
      </c>
      <c r="C24" s="6">
        <v>843</v>
      </c>
      <c r="D24" s="7">
        <f t="shared" si="1"/>
        <v>20</v>
      </c>
      <c r="E24" s="17">
        <f t="shared" si="0"/>
        <v>350</v>
      </c>
    </row>
    <row r="25" spans="1:5" x14ac:dyDescent="0.25">
      <c r="B25" s="4">
        <v>21</v>
      </c>
      <c r="C25" s="6">
        <v>845</v>
      </c>
      <c r="D25" s="7">
        <f t="shared" si="1"/>
        <v>20</v>
      </c>
      <c r="E25" s="17">
        <f t="shared" si="0"/>
        <v>370</v>
      </c>
    </row>
    <row r="26" spans="1:5" x14ac:dyDescent="0.25">
      <c r="B26" s="4">
        <v>22</v>
      </c>
      <c r="C26" s="8">
        <v>847</v>
      </c>
      <c r="D26" s="7">
        <f t="shared" si="1"/>
        <v>20</v>
      </c>
      <c r="E26" s="17">
        <f t="shared" si="0"/>
        <v>390</v>
      </c>
    </row>
    <row r="27" spans="1:5" x14ac:dyDescent="0.25">
      <c r="A27" s="2" t="s">
        <v>5</v>
      </c>
      <c r="B27" s="4">
        <v>23</v>
      </c>
      <c r="C27" s="8">
        <v>847</v>
      </c>
      <c r="D27" s="7">
        <f t="shared" si="1"/>
        <v>0</v>
      </c>
      <c r="E27" s="17">
        <f t="shared" si="0"/>
        <v>390</v>
      </c>
    </row>
    <row r="28" spans="1:5" ht="12.75" customHeight="1" x14ac:dyDescent="0.25">
      <c r="B28" s="4">
        <v>24</v>
      </c>
      <c r="C28" s="8">
        <v>847</v>
      </c>
      <c r="D28" s="7">
        <f t="shared" si="1"/>
        <v>0</v>
      </c>
      <c r="E28" s="17">
        <f t="shared" si="0"/>
        <v>390</v>
      </c>
    </row>
    <row r="29" spans="1:5" ht="15.6" x14ac:dyDescent="0.25">
      <c r="B29" s="12" t="s">
        <v>6</v>
      </c>
      <c r="C29" s="9">
        <f>MAX(C5:C28)</f>
        <v>847</v>
      </c>
      <c r="D29" s="10">
        <f>MAX(D5:D28)</f>
        <v>30</v>
      </c>
      <c r="E29" s="10">
        <f>MAX(E5:E28)</f>
        <v>390</v>
      </c>
    </row>
    <row r="30" spans="1:5" ht="15.6" x14ac:dyDescent="0.25">
      <c r="B30" s="12" t="s">
        <v>7</v>
      </c>
      <c r="C30" s="9">
        <f>MIN(C5:C28)</f>
        <v>808</v>
      </c>
      <c r="D30" s="10">
        <f>MIN(D5:D28)</f>
        <v>0</v>
      </c>
      <c r="E30" s="10">
        <f>MIN(E5:E28)</f>
        <v>0</v>
      </c>
    </row>
    <row r="31" spans="1:5" ht="15.6" x14ac:dyDescent="0.25">
      <c r="B31" s="13" t="s">
        <v>8</v>
      </c>
      <c r="C31" s="9">
        <f>AVERAGE(C5:C28)</f>
        <v>826.5</v>
      </c>
      <c r="D31" s="10">
        <f>AVERAGE(D5:D28)</f>
        <v>16.25</v>
      </c>
      <c r="E31" s="10">
        <f>AVERAGE(E5:E28)</f>
        <v>185</v>
      </c>
    </row>
    <row r="32" spans="1:5" ht="15.75" customHeight="1" thickBot="1" x14ac:dyDescent="0.3">
      <c r="B32" s="14" t="s">
        <v>9</v>
      </c>
      <c r="C32" s="15">
        <f>SUM(C5:C28)</f>
        <v>19836</v>
      </c>
      <c r="D32" s="15">
        <f>SUM(D5:D28)</f>
        <v>390</v>
      </c>
      <c r="E32" s="15">
        <f>SUM(E5:E28)</f>
        <v>4440</v>
      </c>
    </row>
    <row r="33" spans="2:2" hidden="1" x14ac:dyDescent="0.25"/>
    <row r="34" spans="2:2" hidden="1" x14ac:dyDescent="0.25"/>
    <row r="35" spans="2:2" hidden="1" x14ac:dyDescent="0.25"/>
    <row r="36" spans="2:2" hidden="1" x14ac:dyDescent="0.25"/>
    <row r="37" spans="2:2" hidden="1" x14ac:dyDescent="0.25"/>
    <row r="38" spans="2:2" hidden="1" x14ac:dyDescent="0.25"/>
    <row r="41" spans="2:2" x14ac:dyDescent="0.25">
      <c r="B41" s="2" t="s">
        <v>10</v>
      </c>
    </row>
  </sheetData>
  <mergeCells count="2">
    <mergeCell ref="B1:E2"/>
    <mergeCell ref="C3:D3"/>
  </mergeCells>
  <pageMargins left="0.7" right="0.7" top="0.75" bottom="0.75" header="0.3" footer="0.3"/>
  <pageSetup orientation="portrait" r:id="rId1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5A552-84E1-4C27-92D8-7661273BA671}">
  <sheetPr codeName="Hoja21">
    <tabColor rgb="FFFFFF00"/>
  </sheetPr>
  <dimension ref="A1:E41"/>
  <sheetViews>
    <sheetView topLeftCell="A4" zoomScale="120" zoomScaleNormal="120" workbookViewId="0">
      <selection activeCell="D5" sqref="D5"/>
    </sheetView>
  </sheetViews>
  <sheetFormatPr baseColWidth="10" defaultColWidth="11.44140625" defaultRowHeight="13.2" x14ac:dyDescent="0.25"/>
  <cols>
    <col min="1" max="1" width="1.6640625" style="2" customWidth="1"/>
    <col min="2" max="2" width="11.44140625" style="2" customWidth="1"/>
    <col min="3" max="3" width="11.6640625" style="2" customWidth="1"/>
    <col min="4" max="4" width="22" style="2" customWidth="1"/>
    <col min="5" max="5" width="28.5546875" style="2" customWidth="1"/>
    <col min="6" max="16384" width="11.44140625" style="2"/>
  </cols>
  <sheetData>
    <row r="1" spans="1:5" s="1" customFormat="1" ht="12.75" customHeight="1" x14ac:dyDescent="0.3">
      <c r="B1" s="31" t="s">
        <v>12</v>
      </c>
      <c r="C1" s="32"/>
      <c r="D1" s="32"/>
      <c r="E1" s="32"/>
    </row>
    <row r="2" spans="1:5" ht="25.5" customHeight="1" thickBot="1" x14ac:dyDescent="0.3">
      <c r="B2" s="33"/>
      <c r="C2" s="34"/>
      <c r="D2" s="34"/>
      <c r="E2" s="34"/>
    </row>
    <row r="3" spans="1:5" x14ac:dyDescent="0.25">
      <c r="B3" s="11" t="s">
        <v>0</v>
      </c>
      <c r="C3" s="26">
        <v>46159</v>
      </c>
      <c r="D3" s="26"/>
      <c r="E3" s="18"/>
    </row>
    <row r="4" spans="1:5" ht="18" customHeight="1" x14ac:dyDescent="0.25">
      <c r="A4" s="2">
        <v>0</v>
      </c>
      <c r="B4" s="23" t="s">
        <v>1</v>
      </c>
      <c r="C4" s="24" t="s">
        <v>2</v>
      </c>
      <c r="D4" s="24" t="s">
        <v>13</v>
      </c>
      <c r="E4" s="25" t="s">
        <v>11</v>
      </c>
    </row>
    <row r="5" spans="1:5" x14ac:dyDescent="0.25">
      <c r="B5" s="4">
        <v>1</v>
      </c>
      <c r="C5" s="6">
        <v>847</v>
      </c>
      <c r="D5" s="7">
        <f>C5-847</f>
        <v>0</v>
      </c>
      <c r="E5" s="17">
        <f>+D5</f>
        <v>0</v>
      </c>
    </row>
    <row r="6" spans="1:5" ht="11.25" customHeight="1" x14ac:dyDescent="0.25">
      <c r="B6" s="4">
        <v>2</v>
      </c>
      <c r="C6" s="6">
        <v>847</v>
      </c>
      <c r="D6" s="7">
        <f>SUM(C6-C5)*10</f>
        <v>0</v>
      </c>
      <c r="E6" s="17">
        <f t="shared" ref="E6:E28" si="0">+D6+E5</f>
        <v>0</v>
      </c>
    </row>
    <row r="7" spans="1:5" ht="11.25" customHeight="1" x14ac:dyDescent="0.25">
      <c r="B7" s="4">
        <v>3</v>
      </c>
      <c r="C7" s="6">
        <v>847</v>
      </c>
      <c r="D7" s="7">
        <f t="shared" ref="D7:D28" si="1">SUM(C7-C6)*10</f>
        <v>0</v>
      </c>
      <c r="E7" s="17">
        <f t="shared" si="0"/>
        <v>0</v>
      </c>
    </row>
    <row r="8" spans="1:5" ht="12" customHeight="1" x14ac:dyDescent="0.25">
      <c r="B8" s="4">
        <v>4</v>
      </c>
      <c r="C8" s="6">
        <v>847</v>
      </c>
      <c r="D8" s="7">
        <f>SUM(C8-C7)*10</f>
        <v>0</v>
      </c>
      <c r="E8" s="17">
        <f>+D8+E7</f>
        <v>0</v>
      </c>
    </row>
    <row r="9" spans="1:5" x14ac:dyDescent="0.25">
      <c r="A9" s="2">
        <v>0</v>
      </c>
      <c r="B9" s="4">
        <v>5</v>
      </c>
      <c r="C9" s="6">
        <v>849</v>
      </c>
      <c r="D9" s="7">
        <f t="shared" si="1"/>
        <v>20</v>
      </c>
      <c r="E9" s="17">
        <f t="shared" si="0"/>
        <v>20</v>
      </c>
    </row>
    <row r="10" spans="1:5" ht="15" customHeight="1" x14ac:dyDescent="0.25">
      <c r="A10" s="2" t="s">
        <v>3</v>
      </c>
      <c r="B10" s="4">
        <v>6</v>
      </c>
      <c r="C10" s="6">
        <v>851</v>
      </c>
      <c r="D10" s="7">
        <f t="shared" si="1"/>
        <v>20</v>
      </c>
      <c r="E10" s="17">
        <f t="shared" si="0"/>
        <v>40</v>
      </c>
    </row>
    <row r="11" spans="1:5" ht="12" customHeight="1" x14ac:dyDescent="0.25">
      <c r="B11" s="4">
        <v>7</v>
      </c>
      <c r="C11" s="6">
        <v>853</v>
      </c>
      <c r="D11" s="7">
        <f t="shared" si="1"/>
        <v>20</v>
      </c>
      <c r="E11" s="17">
        <f t="shared" si="0"/>
        <v>60</v>
      </c>
    </row>
    <row r="12" spans="1:5" ht="15.75" customHeight="1" x14ac:dyDescent="0.25">
      <c r="A12" s="2">
        <v>0</v>
      </c>
      <c r="B12" s="4">
        <v>8</v>
      </c>
      <c r="C12" s="6">
        <v>856</v>
      </c>
      <c r="D12" s="7">
        <f t="shared" si="1"/>
        <v>30</v>
      </c>
      <c r="E12" s="17">
        <f t="shared" si="0"/>
        <v>90</v>
      </c>
    </row>
    <row r="13" spans="1:5" ht="12" customHeight="1" x14ac:dyDescent="0.25">
      <c r="B13" s="4">
        <v>9</v>
      </c>
      <c r="C13" s="6">
        <v>859</v>
      </c>
      <c r="D13" s="7">
        <f t="shared" si="1"/>
        <v>30</v>
      </c>
      <c r="E13" s="17">
        <f t="shared" si="0"/>
        <v>120</v>
      </c>
    </row>
    <row r="14" spans="1:5" ht="14.25" customHeight="1" x14ac:dyDescent="0.25">
      <c r="B14" s="4">
        <v>10</v>
      </c>
      <c r="C14" s="6">
        <v>862</v>
      </c>
      <c r="D14" s="7">
        <f t="shared" si="1"/>
        <v>30</v>
      </c>
      <c r="E14" s="17">
        <f t="shared" si="0"/>
        <v>150</v>
      </c>
    </row>
    <row r="15" spans="1:5" x14ac:dyDescent="0.25">
      <c r="B15" s="4">
        <v>11</v>
      </c>
      <c r="C15" s="6">
        <v>865</v>
      </c>
      <c r="D15" s="7">
        <f t="shared" si="1"/>
        <v>30</v>
      </c>
      <c r="E15" s="17">
        <f t="shared" si="0"/>
        <v>180</v>
      </c>
    </row>
    <row r="16" spans="1:5" x14ac:dyDescent="0.25">
      <c r="A16" s="2">
        <v>0</v>
      </c>
      <c r="B16" s="4">
        <v>12</v>
      </c>
      <c r="C16" s="6">
        <v>869</v>
      </c>
      <c r="D16" s="7">
        <f t="shared" si="1"/>
        <v>40</v>
      </c>
      <c r="E16" s="17">
        <f t="shared" si="0"/>
        <v>220</v>
      </c>
    </row>
    <row r="17" spans="1:5" x14ac:dyDescent="0.25">
      <c r="B17" s="4">
        <v>13</v>
      </c>
      <c r="C17" s="6">
        <v>871</v>
      </c>
      <c r="D17" s="7">
        <f t="shared" si="1"/>
        <v>20</v>
      </c>
      <c r="E17" s="17">
        <f t="shared" si="0"/>
        <v>240</v>
      </c>
    </row>
    <row r="18" spans="1:5" ht="14.25" customHeight="1" x14ac:dyDescent="0.25">
      <c r="A18" s="3" t="s">
        <v>4</v>
      </c>
      <c r="B18" s="4">
        <v>14</v>
      </c>
      <c r="C18" s="6">
        <v>873</v>
      </c>
      <c r="D18" s="7">
        <f t="shared" si="1"/>
        <v>20</v>
      </c>
      <c r="E18" s="17">
        <f t="shared" si="0"/>
        <v>260</v>
      </c>
    </row>
    <row r="19" spans="1:5" x14ac:dyDescent="0.25">
      <c r="B19" s="4">
        <v>15</v>
      </c>
      <c r="C19" s="6">
        <v>875</v>
      </c>
      <c r="D19" s="7">
        <f t="shared" si="1"/>
        <v>20</v>
      </c>
      <c r="E19" s="17">
        <f t="shared" si="0"/>
        <v>280</v>
      </c>
    </row>
    <row r="20" spans="1:5" x14ac:dyDescent="0.25">
      <c r="A20" s="2">
        <v>0</v>
      </c>
      <c r="B20" s="4">
        <v>16</v>
      </c>
      <c r="C20" s="6">
        <v>877</v>
      </c>
      <c r="D20" s="7">
        <f t="shared" si="1"/>
        <v>20</v>
      </c>
      <c r="E20" s="17">
        <f t="shared" si="0"/>
        <v>300</v>
      </c>
    </row>
    <row r="21" spans="1:5" x14ac:dyDescent="0.25">
      <c r="B21" s="4">
        <v>17</v>
      </c>
      <c r="C21" s="6">
        <v>879</v>
      </c>
      <c r="D21" s="7">
        <f t="shared" si="1"/>
        <v>20</v>
      </c>
      <c r="E21" s="17">
        <f t="shared" si="0"/>
        <v>320</v>
      </c>
    </row>
    <row r="22" spans="1:5" x14ac:dyDescent="0.25">
      <c r="B22" s="4">
        <v>18</v>
      </c>
      <c r="C22" s="6">
        <v>881</v>
      </c>
      <c r="D22" s="7">
        <f t="shared" si="1"/>
        <v>20</v>
      </c>
      <c r="E22" s="17">
        <f t="shared" si="0"/>
        <v>340</v>
      </c>
    </row>
    <row r="23" spans="1:5" x14ac:dyDescent="0.25">
      <c r="B23" s="4">
        <v>19</v>
      </c>
      <c r="C23" s="6">
        <v>884</v>
      </c>
      <c r="D23" s="7">
        <f t="shared" si="1"/>
        <v>30</v>
      </c>
      <c r="E23" s="17">
        <f t="shared" si="0"/>
        <v>370</v>
      </c>
    </row>
    <row r="24" spans="1:5" x14ac:dyDescent="0.25">
      <c r="B24" s="4">
        <v>20</v>
      </c>
      <c r="C24" s="6">
        <v>886</v>
      </c>
      <c r="D24" s="7">
        <f t="shared" si="1"/>
        <v>20</v>
      </c>
      <c r="E24" s="17">
        <f t="shared" si="0"/>
        <v>390</v>
      </c>
    </row>
    <row r="25" spans="1:5" x14ac:dyDescent="0.25">
      <c r="B25" s="4">
        <v>21</v>
      </c>
      <c r="C25" s="6">
        <v>888</v>
      </c>
      <c r="D25" s="7">
        <f t="shared" si="1"/>
        <v>20</v>
      </c>
      <c r="E25" s="17">
        <f t="shared" si="0"/>
        <v>410</v>
      </c>
    </row>
    <row r="26" spans="1:5" x14ac:dyDescent="0.25">
      <c r="B26" s="4">
        <v>22</v>
      </c>
      <c r="C26" s="8">
        <v>891</v>
      </c>
      <c r="D26" s="7">
        <f t="shared" si="1"/>
        <v>30</v>
      </c>
      <c r="E26" s="17">
        <f t="shared" si="0"/>
        <v>440</v>
      </c>
    </row>
    <row r="27" spans="1:5" x14ac:dyDescent="0.25">
      <c r="A27" s="2" t="s">
        <v>5</v>
      </c>
      <c r="B27" s="4">
        <v>23</v>
      </c>
      <c r="C27" s="8">
        <v>891</v>
      </c>
      <c r="D27" s="7">
        <f t="shared" si="1"/>
        <v>0</v>
      </c>
      <c r="E27" s="17">
        <f t="shared" si="0"/>
        <v>440</v>
      </c>
    </row>
    <row r="28" spans="1:5" ht="12.75" customHeight="1" x14ac:dyDescent="0.25">
      <c r="B28" s="4">
        <v>24</v>
      </c>
      <c r="C28" s="8">
        <v>891</v>
      </c>
      <c r="D28" s="7">
        <f t="shared" si="1"/>
        <v>0</v>
      </c>
      <c r="E28" s="17">
        <f t="shared" si="0"/>
        <v>440</v>
      </c>
    </row>
    <row r="29" spans="1:5" ht="15.6" x14ac:dyDescent="0.25">
      <c r="B29" s="12" t="s">
        <v>6</v>
      </c>
      <c r="C29" s="9">
        <f>MAX(C5:C28)</f>
        <v>891</v>
      </c>
      <c r="D29" s="10">
        <f>MAX(D5:D28)</f>
        <v>40</v>
      </c>
      <c r="E29" s="10">
        <f>MAX(E5:E28)</f>
        <v>440</v>
      </c>
    </row>
    <row r="30" spans="1:5" ht="15.6" x14ac:dyDescent="0.25">
      <c r="B30" s="12" t="s">
        <v>7</v>
      </c>
      <c r="C30" s="9">
        <f>MIN(C5:C28)</f>
        <v>847</v>
      </c>
      <c r="D30" s="10">
        <f>MIN(D5:D28)</f>
        <v>0</v>
      </c>
      <c r="E30" s="10">
        <f>MIN(E5:E28)</f>
        <v>0</v>
      </c>
    </row>
    <row r="31" spans="1:5" ht="15.6" x14ac:dyDescent="0.25">
      <c r="B31" s="13" t="s">
        <v>8</v>
      </c>
      <c r="C31" s="9">
        <f>AVERAGE(C5:C28)</f>
        <v>868.29166666666663</v>
      </c>
      <c r="D31" s="10">
        <f>AVERAGE(D5:D28)</f>
        <v>18.333333333333332</v>
      </c>
      <c r="E31" s="10">
        <f>AVERAGE(E5:E28)</f>
        <v>212.91666666666666</v>
      </c>
    </row>
    <row r="32" spans="1:5" ht="15.75" customHeight="1" thickBot="1" x14ac:dyDescent="0.3">
      <c r="B32" s="14" t="s">
        <v>9</v>
      </c>
      <c r="C32" s="15">
        <f>SUM(C5:C28)</f>
        <v>20839</v>
      </c>
      <c r="D32" s="15">
        <f>SUM(D5:D28)</f>
        <v>440</v>
      </c>
      <c r="E32" s="15">
        <f>SUM(E5:E28)</f>
        <v>5110</v>
      </c>
    </row>
    <row r="33" spans="2:2" hidden="1" x14ac:dyDescent="0.25"/>
    <row r="34" spans="2:2" hidden="1" x14ac:dyDescent="0.25"/>
    <row r="35" spans="2:2" hidden="1" x14ac:dyDescent="0.25"/>
    <row r="36" spans="2:2" hidden="1" x14ac:dyDescent="0.25"/>
    <row r="37" spans="2:2" hidden="1" x14ac:dyDescent="0.25"/>
    <row r="38" spans="2:2" hidden="1" x14ac:dyDescent="0.25"/>
    <row r="41" spans="2:2" x14ac:dyDescent="0.25">
      <c r="B41" s="2" t="s">
        <v>10</v>
      </c>
    </row>
  </sheetData>
  <mergeCells count="2">
    <mergeCell ref="B1:E2"/>
    <mergeCell ref="C3:D3"/>
  </mergeCells>
  <pageMargins left="0.7" right="0.7" top="0.75" bottom="0.75" header="0.3" footer="0.3"/>
  <pageSetup orientation="portrait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FF541-DC33-49F6-BC02-278225F71905}">
  <sheetPr codeName="Hoja22">
    <tabColor rgb="FFFFFF00"/>
  </sheetPr>
  <dimension ref="A1:E41"/>
  <sheetViews>
    <sheetView topLeftCell="A4" zoomScale="120" zoomScaleNormal="120" workbookViewId="0">
      <selection activeCell="D5" sqref="D5"/>
    </sheetView>
  </sheetViews>
  <sheetFormatPr baseColWidth="10" defaultColWidth="11.44140625" defaultRowHeight="13.2" x14ac:dyDescent="0.25"/>
  <cols>
    <col min="1" max="1" width="1.6640625" style="2" customWidth="1"/>
    <col min="2" max="2" width="11.44140625" style="2" customWidth="1"/>
    <col min="3" max="3" width="11.6640625" style="2" customWidth="1"/>
    <col min="4" max="4" width="22" style="2" customWidth="1"/>
    <col min="5" max="5" width="28.5546875" style="2" customWidth="1"/>
    <col min="6" max="16384" width="11.44140625" style="2"/>
  </cols>
  <sheetData>
    <row r="1" spans="1:5" s="1" customFormat="1" ht="12.75" customHeight="1" x14ac:dyDescent="0.3">
      <c r="B1" s="31" t="s">
        <v>12</v>
      </c>
      <c r="C1" s="32"/>
      <c r="D1" s="32"/>
      <c r="E1" s="32"/>
    </row>
    <row r="2" spans="1:5" ht="25.5" customHeight="1" thickBot="1" x14ac:dyDescent="0.3">
      <c r="B2" s="33"/>
      <c r="C2" s="34"/>
      <c r="D2" s="34"/>
      <c r="E2" s="34"/>
    </row>
    <row r="3" spans="1:5" x14ac:dyDescent="0.25">
      <c r="B3" s="11" t="s">
        <v>0</v>
      </c>
      <c r="C3" s="26">
        <v>46159</v>
      </c>
      <c r="D3" s="26"/>
      <c r="E3" s="18"/>
    </row>
    <row r="4" spans="1:5" ht="18" customHeight="1" x14ac:dyDescent="0.25">
      <c r="A4" s="2">
        <v>0</v>
      </c>
      <c r="B4" s="23" t="s">
        <v>1</v>
      </c>
      <c r="C4" s="24" t="s">
        <v>2</v>
      </c>
      <c r="D4" s="24" t="s">
        <v>13</v>
      </c>
      <c r="E4" s="25" t="s">
        <v>11</v>
      </c>
    </row>
    <row r="5" spans="1:5" x14ac:dyDescent="0.25">
      <c r="B5" s="4">
        <v>1</v>
      </c>
      <c r="C5" s="6">
        <v>891</v>
      </c>
      <c r="D5" s="7">
        <v>0</v>
      </c>
      <c r="E5" s="17">
        <f>+D5</f>
        <v>0</v>
      </c>
    </row>
    <row r="6" spans="1:5" ht="11.25" customHeight="1" x14ac:dyDescent="0.25">
      <c r="B6" s="4">
        <v>2</v>
      </c>
      <c r="C6" s="6">
        <v>891</v>
      </c>
      <c r="D6" s="7">
        <f>SUM(C6-C5)*10</f>
        <v>0</v>
      </c>
      <c r="E6" s="17">
        <f t="shared" ref="E6:E28" si="0">+D6+E5</f>
        <v>0</v>
      </c>
    </row>
    <row r="7" spans="1:5" ht="11.25" customHeight="1" x14ac:dyDescent="0.25">
      <c r="B7" s="4">
        <v>3</v>
      </c>
      <c r="C7" s="6">
        <v>891</v>
      </c>
      <c r="D7" s="7">
        <f t="shared" ref="D7:D28" si="1">SUM(C7-C6)*10</f>
        <v>0</v>
      </c>
      <c r="E7" s="17">
        <f t="shared" si="0"/>
        <v>0</v>
      </c>
    </row>
    <row r="8" spans="1:5" ht="12" customHeight="1" x14ac:dyDescent="0.25">
      <c r="B8" s="4">
        <v>4</v>
      </c>
      <c r="C8" s="6">
        <v>891</v>
      </c>
      <c r="D8" s="7">
        <f>SUM(C8-C7)*10</f>
        <v>0</v>
      </c>
      <c r="E8" s="17">
        <f>+D8+E7</f>
        <v>0</v>
      </c>
    </row>
    <row r="9" spans="1:5" x14ac:dyDescent="0.25">
      <c r="A9" s="2">
        <v>0</v>
      </c>
      <c r="B9" s="4">
        <v>5</v>
      </c>
      <c r="C9" s="6">
        <v>893</v>
      </c>
      <c r="D9" s="7">
        <f t="shared" si="1"/>
        <v>20</v>
      </c>
      <c r="E9" s="17">
        <f t="shared" si="0"/>
        <v>20</v>
      </c>
    </row>
    <row r="10" spans="1:5" ht="15" customHeight="1" x14ac:dyDescent="0.25">
      <c r="A10" s="2" t="s">
        <v>3</v>
      </c>
      <c r="B10" s="4">
        <v>6</v>
      </c>
      <c r="C10" s="6">
        <v>895</v>
      </c>
      <c r="D10" s="7">
        <f t="shared" si="1"/>
        <v>20</v>
      </c>
      <c r="E10" s="17">
        <f t="shared" si="0"/>
        <v>40</v>
      </c>
    </row>
    <row r="11" spans="1:5" ht="12" customHeight="1" x14ac:dyDescent="0.25">
      <c r="B11" s="4">
        <v>7</v>
      </c>
      <c r="C11" s="6">
        <v>897</v>
      </c>
      <c r="D11" s="7">
        <f t="shared" si="1"/>
        <v>20</v>
      </c>
      <c r="E11" s="17">
        <f t="shared" si="0"/>
        <v>60</v>
      </c>
    </row>
    <row r="12" spans="1:5" ht="15.75" customHeight="1" x14ac:dyDescent="0.25">
      <c r="A12" s="2">
        <v>0</v>
      </c>
      <c r="B12" s="4">
        <v>8</v>
      </c>
      <c r="C12" s="6">
        <v>900</v>
      </c>
      <c r="D12" s="7">
        <f t="shared" si="1"/>
        <v>30</v>
      </c>
      <c r="E12" s="17">
        <f t="shared" si="0"/>
        <v>90</v>
      </c>
    </row>
    <row r="13" spans="1:5" ht="12" customHeight="1" x14ac:dyDescent="0.25">
      <c r="B13" s="4">
        <v>9</v>
      </c>
      <c r="C13" s="6">
        <v>903</v>
      </c>
      <c r="D13" s="7">
        <f t="shared" si="1"/>
        <v>30</v>
      </c>
      <c r="E13" s="17">
        <f t="shared" si="0"/>
        <v>120</v>
      </c>
    </row>
    <row r="14" spans="1:5" ht="14.25" customHeight="1" x14ac:dyDescent="0.25">
      <c r="B14" s="4">
        <v>10</v>
      </c>
      <c r="C14" s="6">
        <v>906</v>
      </c>
      <c r="D14" s="7">
        <f t="shared" si="1"/>
        <v>30</v>
      </c>
      <c r="E14" s="17">
        <f t="shared" si="0"/>
        <v>150</v>
      </c>
    </row>
    <row r="15" spans="1:5" x14ac:dyDescent="0.25">
      <c r="B15" s="4">
        <v>11</v>
      </c>
      <c r="C15" s="6">
        <v>910</v>
      </c>
      <c r="D15" s="7">
        <f t="shared" si="1"/>
        <v>40</v>
      </c>
      <c r="E15" s="17">
        <f t="shared" si="0"/>
        <v>190</v>
      </c>
    </row>
    <row r="16" spans="1:5" x14ac:dyDescent="0.25">
      <c r="A16" s="2">
        <v>0</v>
      </c>
      <c r="B16" s="4">
        <v>12</v>
      </c>
      <c r="C16" s="6">
        <v>914</v>
      </c>
      <c r="D16" s="7">
        <f t="shared" si="1"/>
        <v>40</v>
      </c>
      <c r="E16" s="17">
        <f t="shared" si="0"/>
        <v>230</v>
      </c>
    </row>
    <row r="17" spans="1:5" x14ac:dyDescent="0.25">
      <c r="B17" s="4">
        <v>13</v>
      </c>
      <c r="C17" s="6">
        <v>917</v>
      </c>
      <c r="D17" s="7">
        <f t="shared" si="1"/>
        <v>30</v>
      </c>
      <c r="E17" s="17">
        <f t="shared" si="0"/>
        <v>260</v>
      </c>
    </row>
    <row r="18" spans="1:5" ht="14.25" customHeight="1" x14ac:dyDescent="0.25">
      <c r="A18" s="3" t="s">
        <v>4</v>
      </c>
      <c r="B18" s="4">
        <v>14</v>
      </c>
      <c r="C18" s="6">
        <v>920</v>
      </c>
      <c r="D18" s="7">
        <f t="shared" si="1"/>
        <v>30</v>
      </c>
      <c r="E18" s="17">
        <f t="shared" si="0"/>
        <v>290</v>
      </c>
    </row>
    <row r="19" spans="1:5" x14ac:dyDescent="0.25">
      <c r="B19" s="4">
        <v>15</v>
      </c>
      <c r="C19" s="6">
        <v>923</v>
      </c>
      <c r="D19" s="7">
        <f t="shared" si="1"/>
        <v>30</v>
      </c>
      <c r="E19" s="17">
        <f t="shared" si="0"/>
        <v>320</v>
      </c>
    </row>
    <row r="20" spans="1:5" x14ac:dyDescent="0.25">
      <c r="A20" s="2">
        <v>0</v>
      </c>
      <c r="B20" s="4">
        <v>16</v>
      </c>
      <c r="C20" s="6">
        <v>925</v>
      </c>
      <c r="D20" s="7">
        <f t="shared" si="1"/>
        <v>20</v>
      </c>
      <c r="E20" s="17">
        <f t="shared" si="0"/>
        <v>340</v>
      </c>
    </row>
    <row r="21" spans="1:5" x14ac:dyDescent="0.25">
      <c r="B21" s="4">
        <v>17</v>
      </c>
      <c r="C21" s="6">
        <v>927</v>
      </c>
      <c r="D21" s="7">
        <f t="shared" si="1"/>
        <v>20</v>
      </c>
      <c r="E21" s="17">
        <f t="shared" si="0"/>
        <v>360</v>
      </c>
    </row>
    <row r="22" spans="1:5" x14ac:dyDescent="0.25">
      <c r="B22" s="4">
        <v>18</v>
      </c>
      <c r="C22" s="6">
        <v>929</v>
      </c>
      <c r="D22" s="7">
        <f t="shared" si="1"/>
        <v>20</v>
      </c>
      <c r="E22" s="17">
        <f t="shared" si="0"/>
        <v>380</v>
      </c>
    </row>
    <row r="23" spans="1:5" x14ac:dyDescent="0.25">
      <c r="B23" s="4">
        <v>19</v>
      </c>
      <c r="C23" s="6">
        <v>932</v>
      </c>
      <c r="D23" s="7">
        <f t="shared" si="1"/>
        <v>30</v>
      </c>
      <c r="E23" s="17">
        <f t="shared" si="0"/>
        <v>410</v>
      </c>
    </row>
    <row r="24" spans="1:5" x14ac:dyDescent="0.25">
      <c r="B24" s="4">
        <v>20</v>
      </c>
      <c r="C24" s="6">
        <v>934</v>
      </c>
      <c r="D24" s="7">
        <f t="shared" si="1"/>
        <v>20</v>
      </c>
      <c r="E24" s="17">
        <f t="shared" si="0"/>
        <v>430</v>
      </c>
    </row>
    <row r="25" spans="1:5" x14ac:dyDescent="0.25">
      <c r="B25" s="4">
        <v>21</v>
      </c>
      <c r="C25" s="6">
        <v>936</v>
      </c>
      <c r="D25" s="7">
        <f t="shared" si="1"/>
        <v>20</v>
      </c>
      <c r="E25" s="17">
        <f t="shared" si="0"/>
        <v>450</v>
      </c>
    </row>
    <row r="26" spans="1:5" x14ac:dyDescent="0.25">
      <c r="B26" s="4">
        <v>22</v>
      </c>
      <c r="C26" s="8">
        <v>938</v>
      </c>
      <c r="D26" s="7">
        <f t="shared" si="1"/>
        <v>20</v>
      </c>
      <c r="E26" s="17">
        <f t="shared" si="0"/>
        <v>470</v>
      </c>
    </row>
    <row r="27" spans="1:5" x14ac:dyDescent="0.25">
      <c r="A27" s="2" t="s">
        <v>5</v>
      </c>
      <c r="B27" s="4">
        <v>23</v>
      </c>
      <c r="C27" s="8">
        <v>938</v>
      </c>
      <c r="D27" s="7">
        <f t="shared" si="1"/>
        <v>0</v>
      </c>
      <c r="E27" s="17">
        <f t="shared" si="0"/>
        <v>470</v>
      </c>
    </row>
    <row r="28" spans="1:5" ht="12.75" customHeight="1" x14ac:dyDescent="0.25">
      <c r="B28" s="4">
        <v>24</v>
      </c>
      <c r="C28" s="8">
        <v>938</v>
      </c>
      <c r="D28" s="7">
        <f t="shared" si="1"/>
        <v>0</v>
      </c>
      <c r="E28" s="17">
        <f t="shared" si="0"/>
        <v>470</v>
      </c>
    </row>
    <row r="29" spans="1:5" ht="15.6" x14ac:dyDescent="0.25">
      <c r="B29" s="12" t="s">
        <v>6</v>
      </c>
      <c r="C29" s="9">
        <f>MAX(C5:C28)</f>
        <v>938</v>
      </c>
      <c r="D29" s="10">
        <f>MAX(D5:D28)</f>
        <v>40</v>
      </c>
      <c r="E29" s="10">
        <f>MAX(E5:E28)</f>
        <v>470</v>
      </c>
    </row>
    <row r="30" spans="1:5" ht="15.6" x14ac:dyDescent="0.25">
      <c r="B30" s="12" t="s">
        <v>7</v>
      </c>
      <c r="C30" s="9">
        <f>MIN(C5:C28)</f>
        <v>891</v>
      </c>
      <c r="D30" s="10">
        <f>MIN(D5:D28)</f>
        <v>0</v>
      </c>
      <c r="E30" s="10">
        <f>MIN(E5:E28)</f>
        <v>0</v>
      </c>
    </row>
    <row r="31" spans="1:5" ht="15.6" x14ac:dyDescent="0.25">
      <c r="B31" s="13" t="s">
        <v>8</v>
      </c>
      <c r="C31" s="9">
        <f>AVERAGE(C5:C28)</f>
        <v>914.125</v>
      </c>
      <c r="D31" s="10">
        <f>AVERAGE(D5:D28)</f>
        <v>19.583333333333332</v>
      </c>
      <c r="E31" s="10">
        <f>AVERAGE(E5:E28)</f>
        <v>231.25</v>
      </c>
    </row>
    <row r="32" spans="1:5" ht="15.75" customHeight="1" thickBot="1" x14ac:dyDescent="0.3">
      <c r="B32" s="14" t="s">
        <v>9</v>
      </c>
      <c r="C32" s="15">
        <f>SUM(C5:C28)</f>
        <v>21939</v>
      </c>
      <c r="D32" s="15">
        <f>SUM(D5:D28)</f>
        <v>470</v>
      </c>
      <c r="E32" s="15">
        <f>SUM(E5:E28)</f>
        <v>5550</v>
      </c>
    </row>
    <row r="33" spans="2:2" hidden="1" x14ac:dyDescent="0.25"/>
    <row r="34" spans="2:2" hidden="1" x14ac:dyDescent="0.25"/>
    <row r="35" spans="2:2" hidden="1" x14ac:dyDescent="0.25"/>
    <row r="36" spans="2:2" hidden="1" x14ac:dyDescent="0.25"/>
    <row r="37" spans="2:2" hidden="1" x14ac:dyDescent="0.25"/>
    <row r="38" spans="2:2" hidden="1" x14ac:dyDescent="0.25"/>
    <row r="41" spans="2:2" x14ac:dyDescent="0.25">
      <c r="B41" s="2" t="s">
        <v>10</v>
      </c>
    </row>
  </sheetData>
  <mergeCells count="2">
    <mergeCell ref="B1:E2"/>
    <mergeCell ref="C3:D3"/>
  </mergeCells>
  <pageMargins left="0.7" right="0.7" top="0.75" bottom="0.75" header="0.3" footer="0.3"/>
  <pageSetup orientation="portrait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2E17F-498C-4F25-9DF5-001ADD3CB024}">
  <sheetPr codeName="Hoja23">
    <tabColor rgb="FFFFFF00"/>
  </sheetPr>
  <dimension ref="A1:E41"/>
  <sheetViews>
    <sheetView topLeftCell="A4" zoomScale="120" zoomScaleNormal="120" workbookViewId="0">
      <selection activeCell="C26" sqref="C26:C28"/>
    </sheetView>
  </sheetViews>
  <sheetFormatPr baseColWidth="10" defaultColWidth="11.44140625" defaultRowHeight="13.2" x14ac:dyDescent="0.25"/>
  <cols>
    <col min="1" max="1" width="1.6640625" style="2" customWidth="1"/>
    <col min="2" max="2" width="11.44140625" style="2" customWidth="1"/>
    <col min="3" max="3" width="11.6640625" style="2" customWidth="1"/>
    <col min="4" max="4" width="22" style="2" customWidth="1"/>
    <col min="5" max="5" width="28.5546875" style="2" customWidth="1"/>
    <col min="6" max="16384" width="11.44140625" style="2"/>
  </cols>
  <sheetData>
    <row r="1" spans="1:5" s="1" customFormat="1" ht="12.75" customHeight="1" x14ac:dyDescent="0.3">
      <c r="B1" s="31" t="s">
        <v>12</v>
      </c>
      <c r="C1" s="32"/>
      <c r="D1" s="32"/>
      <c r="E1" s="32"/>
    </row>
    <row r="2" spans="1:5" ht="25.5" customHeight="1" thickBot="1" x14ac:dyDescent="0.3">
      <c r="B2" s="33"/>
      <c r="C2" s="34"/>
      <c r="D2" s="34"/>
      <c r="E2" s="34"/>
    </row>
    <row r="3" spans="1:5" x14ac:dyDescent="0.25">
      <c r="B3" s="11" t="s">
        <v>0</v>
      </c>
      <c r="C3" s="26">
        <v>46159</v>
      </c>
      <c r="D3" s="26"/>
      <c r="E3" s="18"/>
    </row>
    <row r="4" spans="1:5" ht="18" customHeight="1" x14ac:dyDescent="0.25">
      <c r="A4" s="2">
        <v>0</v>
      </c>
      <c r="B4" s="23" t="s">
        <v>1</v>
      </c>
      <c r="C4" s="24" t="s">
        <v>2</v>
      </c>
      <c r="D4" s="24" t="s">
        <v>13</v>
      </c>
      <c r="E4" s="25" t="s">
        <v>11</v>
      </c>
    </row>
    <row r="5" spans="1:5" x14ac:dyDescent="0.25">
      <c r="B5" s="4">
        <v>1</v>
      </c>
      <c r="C5" s="6">
        <v>938</v>
      </c>
      <c r="D5" s="7">
        <f>C5-938</f>
        <v>0</v>
      </c>
      <c r="E5" s="17">
        <f>+D5</f>
        <v>0</v>
      </c>
    </row>
    <row r="6" spans="1:5" ht="11.25" customHeight="1" x14ac:dyDescent="0.25">
      <c r="B6" s="4">
        <v>2</v>
      </c>
      <c r="C6" s="6">
        <v>938</v>
      </c>
      <c r="D6" s="7">
        <f>SUM(C6-C5)*10</f>
        <v>0</v>
      </c>
      <c r="E6" s="17">
        <f t="shared" ref="E6:E28" si="0">+D6+E5</f>
        <v>0</v>
      </c>
    </row>
    <row r="7" spans="1:5" ht="11.25" customHeight="1" x14ac:dyDescent="0.25">
      <c r="B7" s="4">
        <v>3</v>
      </c>
      <c r="C7" s="6">
        <v>938</v>
      </c>
      <c r="D7" s="7">
        <f t="shared" ref="D7:D28" si="1">SUM(C7-C6)*10</f>
        <v>0</v>
      </c>
      <c r="E7" s="17">
        <f t="shared" si="0"/>
        <v>0</v>
      </c>
    </row>
    <row r="8" spans="1:5" ht="12" customHeight="1" x14ac:dyDescent="0.25">
      <c r="B8" s="4">
        <v>4</v>
      </c>
      <c r="C8" s="6">
        <v>938</v>
      </c>
      <c r="D8" s="7">
        <f>SUM(C8-C7)*10</f>
        <v>0</v>
      </c>
      <c r="E8" s="17">
        <f>+D8+E7</f>
        <v>0</v>
      </c>
    </row>
    <row r="9" spans="1:5" x14ac:dyDescent="0.25">
      <c r="A9" s="2">
        <v>0</v>
      </c>
      <c r="B9" s="4">
        <v>5</v>
      </c>
      <c r="C9" s="6">
        <v>940</v>
      </c>
      <c r="D9" s="7">
        <f t="shared" si="1"/>
        <v>20</v>
      </c>
      <c r="E9" s="17">
        <f t="shared" si="0"/>
        <v>20</v>
      </c>
    </row>
    <row r="10" spans="1:5" ht="15" customHeight="1" x14ac:dyDescent="0.25">
      <c r="A10" s="2" t="s">
        <v>3</v>
      </c>
      <c r="B10" s="4">
        <v>6</v>
      </c>
      <c r="C10" s="6">
        <v>943</v>
      </c>
      <c r="D10" s="7">
        <f t="shared" si="1"/>
        <v>30</v>
      </c>
      <c r="E10" s="17">
        <f t="shared" si="0"/>
        <v>50</v>
      </c>
    </row>
    <row r="11" spans="1:5" ht="12" customHeight="1" x14ac:dyDescent="0.25">
      <c r="B11" s="4">
        <v>7</v>
      </c>
      <c r="C11" s="6">
        <v>947</v>
      </c>
      <c r="D11" s="7">
        <f t="shared" si="1"/>
        <v>40</v>
      </c>
      <c r="E11" s="17">
        <f t="shared" si="0"/>
        <v>90</v>
      </c>
    </row>
    <row r="12" spans="1:5" ht="15.75" customHeight="1" x14ac:dyDescent="0.25">
      <c r="A12" s="2">
        <v>0</v>
      </c>
      <c r="B12" s="4">
        <v>8</v>
      </c>
      <c r="C12" s="6">
        <v>949</v>
      </c>
      <c r="D12" s="7">
        <f t="shared" si="1"/>
        <v>20</v>
      </c>
      <c r="E12" s="17">
        <f t="shared" si="0"/>
        <v>110</v>
      </c>
    </row>
    <row r="13" spans="1:5" ht="12" customHeight="1" x14ac:dyDescent="0.25">
      <c r="B13" s="4">
        <v>9</v>
      </c>
      <c r="C13" s="6">
        <v>951</v>
      </c>
      <c r="D13" s="7">
        <f t="shared" si="1"/>
        <v>20</v>
      </c>
      <c r="E13" s="17">
        <f t="shared" si="0"/>
        <v>130</v>
      </c>
    </row>
    <row r="14" spans="1:5" ht="14.25" customHeight="1" x14ac:dyDescent="0.25">
      <c r="B14" s="4">
        <v>10</v>
      </c>
      <c r="C14" s="6">
        <v>953</v>
      </c>
      <c r="D14" s="7">
        <f t="shared" si="1"/>
        <v>20</v>
      </c>
      <c r="E14" s="17">
        <f t="shared" si="0"/>
        <v>150</v>
      </c>
    </row>
    <row r="15" spans="1:5" x14ac:dyDescent="0.25">
      <c r="B15" s="4">
        <v>11</v>
      </c>
      <c r="C15" s="6">
        <v>955</v>
      </c>
      <c r="D15" s="7">
        <f t="shared" si="1"/>
        <v>20</v>
      </c>
      <c r="E15" s="17">
        <f t="shared" si="0"/>
        <v>170</v>
      </c>
    </row>
    <row r="16" spans="1:5" x14ac:dyDescent="0.25">
      <c r="A16" s="2">
        <v>0</v>
      </c>
      <c r="B16" s="4">
        <v>12</v>
      </c>
      <c r="C16" s="6">
        <v>956</v>
      </c>
      <c r="D16" s="7">
        <f t="shared" si="1"/>
        <v>10</v>
      </c>
      <c r="E16" s="17">
        <f t="shared" si="0"/>
        <v>180</v>
      </c>
    </row>
    <row r="17" spans="1:5" x14ac:dyDescent="0.25">
      <c r="B17" s="4">
        <v>13</v>
      </c>
      <c r="C17" s="6">
        <v>958</v>
      </c>
      <c r="D17" s="7">
        <f t="shared" si="1"/>
        <v>20</v>
      </c>
      <c r="E17" s="17">
        <f t="shared" si="0"/>
        <v>200</v>
      </c>
    </row>
    <row r="18" spans="1:5" ht="14.25" customHeight="1" x14ac:dyDescent="0.25">
      <c r="A18" s="3" t="s">
        <v>4</v>
      </c>
      <c r="B18" s="4">
        <v>14</v>
      </c>
      <c r="C18" s="6">
        <v>960</v>
      </c>
      <c r="D18" s="7">
        <f t="shared" si="1"/>
        <v>20</v>
      </c>
      <c r="E18" s="17">
        <f t="shared" si="0"/>
        <v>220</v>
      </c>
    </row>
    <row r="19" spans="1:5" x14ac:dyDescent="0.25">
      <c r="B19" s="4">
        <v>15</v>
      </c>
      <c r="C19" s="6">
        <v>962</v>
      </c>
      <c r="D19" s="7">
        <f t="shared" si="1"/>
        <v>20</v>
      </c>
      <c r="E19" s="17">
        <f t="shared" si="0"/>
        <v>240</v>
      </c>
    </row>
    <row r="20" spans="1:5" x14ac:dyDescent="0.25">
      <c r="A20" s="2">
        <v>0</v>
      </c>
      <c r="B20" s="4">
        <v>16</v>
      </c>
      <c r="C20" s="6">
        <v>964</v>
      </c>
      <c r="D20" s="7">
        <f t="shared" si="1"/>
        <v>20</v>
      </c>
      <c r="E20" s="17">
        <f t="shared" si="0"/>
        <v>260</v>
      </c>
    </row>
    <row r="21" spans="1:5" x14ac:dyDescent="0.25">
      <c r="B21" s="4">
        <v>17</v>
      </c>
      <c r="C21" s="6">
        <v>966</v>
      </c>
      <c r="D21" s="7">
        <f t="shared" si="1"/>
        <v>20</v>
      </c>
      <c r="E21" s="17">
        <f t="shared" si="0"/>
        <v>280</v>
      </c>
    </row>
    <row r="22" spans="1:5" x14ac:dyDescent="0.25">
      <c r="B22" s="4">
        <v>18</v>
      </c>
      <c r="C22" s="6">
        <v>968</v>
      </c>
      <c r="D22" s="7">
        <f t="shared" si="1"/>
        <v>20</v>
      </c>
      <c r="E22" s="17">
        <f t="shared" si="0"/>
        <v>300</v>
      </c>
    </row>
    <row r="23" spans="1:5" x14ac:dyDescent="0.25">
      <c r="B23" s="4">
        <v>19</v>
      </c>
      <c r="C23" s="6">
        <v>970</v>
      </c>
      <c r="D23" s="7">
        <f t="shared" si="1"/>
        <v>20</v>
      </c>
      <c r="E23" s="17">
        <f t="shared" si="0"/>
        <v>320</v>
      </c>
    </row>
    <row r="24" spans="1:5" x14ac:dyDescent="0.25">
      <c r="B24" s="4">
        <v>20</v>
      </c>
      <c r="C24" s="6">
        <v>972</v>
      </c>
      <c r="D24" s="7">
        <f t="shared" si="1"/>
        <v>20</v>
      </c>
      <c r="E24" s="17">
        <f t="shared" si="0"/>
        <v>340</v>
      </c>
    </row>
    <row r="25" spans="1:5" x14ac:dyDescent="0.25">
      <c r="B25" s="4">
        <v>21</v>
      </c>
      <c r="C25" s="6">
        <v>974</v>
      </c>
      <c r="D25" s="7">
        <f t="shared" si="1"/>
        <v>20</v>
      </c>
      <c r="E25" s="17">
        <f t="shared" si="0"/>
        <v>360</v>
      </c>
    </row>
    <row r="26" spans="1:5" x14ac:dyDescent="0.25">
      <c r="B26" s="4">
        <v>22</v>
      </c>
      <c r="C26" s="8">
        <v>978</v>
      </c>
      <c r="D26" s="7">
        <f t="shared" si="1"/>
        <v>40</v>
      </c>
      <c r="E26" s="17">
        <f t="shared" si="0"/>
        <v>400</v>
      </c>
    </row>
    <row r="27" spans="1:5" x14ac:dyDescent="0.25">
      <c r="A27" s="2" t="s">
        <v>5</v>
      </c>
      <c r="B27" s="4">
        <v>23</v>
      </c>
      <c r="C27" s="8">
        <v>978</v>
      </c>
      <c r="D27" s="7">
        <f t="shared" si="1"/>
        <v>0</v>
      </c>
      <c r="E27" s="17">
        <f t="shared" si="0"/>
        <v>400</v>
      </c>
    </row>
    <row r="28" spans="1:5" ht="12.75" customHeight="1" x14ac:dyDescent="0.25">
      <c r="B28" s="4">
        <v>24</v>
      </c>
      <c r="C28" s="8">
        <v>978</v>
      </c>
      <c r="D28" s="7">
        <f t="shared" si="1"/>
        <v>0</v>
      </c>
      <c r="E28" s="17">
        <f t="shared" si="0"/>
        <v>400</v>
      </c>
    </row>
    <row r="29" spans="1:5" ht="15.6" x14ac:dyDescent="0.25">
      <c r="B29" s="12" t="s">
        <v>6</v>
      </c>
      <c r="C29" s="9">
        <f>MAX(C5:C28)</f>
        <v>978</v>
      </c>
      <c r="D29" s="10">
        <f>MAX(D5:D28)</f>
        <v>40</v>
      </c>
      <c r="E29" s="10">
        <f>MAX(E5:E28)</f>
        <v>400</v>
      </c>
    </row>
    <row r="30" spans="1:5" ht="15.6" x14ac:dyDescent="0.25">
      <c r="B30" s="12" t="s">
        <v>7</v>
      </c>
      <c r="C30" s="9">
        <f>MIN(C5:C28)</f>
        <v>938</v>
      </c>
      <c r="D30" s="10">
        <f>MIN(D5:D28)</f>
        <v>0</v>
      </c>
      <c r="E30" s="10">
        <f>MIN(E5:E28)</f>
        <v>0</v>
      </c>
    </row>
    <row r="31" spans="1:5" ht="15.6" x14ac:dyDescent="0.25">
      <c r="B31" s="13" t="s">
        <v>8</v>
      </c>
      <c r="C31" s="9">
        <f>AVERAGE(C5:C28)</f>
        <v>957.25</v>
      </c>
      <c r="D31" s="10">
        <f>AVERAGE(D5:D28)</f>
        <v>16.666666666666668</v>
      </c>
      <c r="E31" s="10">
        <f>AVERAGE(E5:E28)</f>
        <v>192.5</v>
      </c>
    </row>
    <row r="32" spans="1:5" ht="15.75" customHeight="1" thickBot="1" x14ac:dyDescent="0.3">
      <c r="B32" s="14" t="s">
        <v>9</v>
      </c>
      <c r="C32" s="15">
        <f>SUM(C5:C28)</f>
        <v>22974</v>
      </c>
      <c r="D32" s="15">
        <f>SUM(D5:D28)</f>
        <v>400</v>
      </c>
      <c r="E32" s="15">
        <f>SUM(E5:E28)</f>
        <v>4620</v>
      </c>
    </row>
    <row r="33" spans="2:2" hidden="1" x14ac:dyDescent="0.25"/>
    <row r="34" spans="2:2" hidden="1" x14ac:dyDescent="0.25"/>
    <row r="35" spans="2:2" hidden="1" x14ac:dyDescent="0.25"/>
    <row r="36" spans="2:2" hidden="1" x14ac:dyDescent="0.25"/>
    <row r="37" spans="2:2" hidden="1" x14ac:dyDescent="0.25"/>
    <row r="38" spans="2:2" hidden="1" x14ac:dyDescent="0.25"/>
    <row r="41" spans="2:2" x14ac:dyDescent="0.25">
      <c r="B41" s="2" t="s">
        <v>10</v>
      </c>
    </row>
  </sheetData>
  <mergeCells count="2">
    <mergeCell ref="B1:E2"/>
    <mergeCell ref="C3:D3"/>
  </mergeCells>
  <pageMargins left="0.7" right="0.7" top="0.75" bottom="0.75" header="0.3" footer="0.3"/>
  <pageSetup orientation="portrait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6A620-1F45-4360-B42B-38957AAF1CCB}">
  <sheetPr codeName="Hoja24">
    <tabColor rgb="FFFFFF00"/>
  </sheetPr>
  <dimension ref="A1:E41"/>
  <sheetViews>
    <sheetView zoomScale="120" zoomScaleNormal="120" workbookViewId="0">
      <selection activeCell="D27" sqref="D27"/>
    </sheetView>
  </sheetViews>
  <sheetFormatPr baseColWidth="10" defaultColWidth="11.44140625" defaultRowHeight="13.2" x14ac:dyDescent="0.25"/>
  <cols>
    <col min="1" max="1" width="1.6640625" style="2" customWidth="1"/>
    <col min="2" max="2" width="11.44140625" style="2" customWidth="1"/>
    <col min="3" max="3" width="11.6640625" style="2" customWidth="1"/>
    <col min="4" max="4" width="22" style="2" customWidth="1"/>
    <col min="5" max="5" width="28.5546875" style="2" customWidth="1"/>
    <col min="6" max="16384" width="11.44140625" style="2"/>
  </cols>
  <sheetData>
    <row r="1" spans="1:5" s="1" customFormat="1" ht="12.75" customHeight="1" x14ac:dyDescent="0.3">
      <c r="B1" s="31" t="s">
        <v>12</v>
      </c>
      <c r="C1" s="32"/>
      <c r="D1" s="32"/>
      <c r="E1" s="32"/>
    </row>
    <row r="2" spans="1:5" ht="25.5" customHeight="1" thickBot="1" x14ac:dyDescent="0.3">
      <c r="B2" s="33"/>
      <c r="C2" s="34"/>
      <c r="D2" s="34"/>
      <c r="E2" s="34"/>
    </row>
    <row r="3" spans="1:5" x14ac:dyDescent="0.25">
      <c r="B3" s="11" t="s">
        <v>0</v>
      </c>
      <c r="C3" s="26">
        <v>46159</v>
      </c>
      <c r="D3" s="26"/>
      <c r="E3" s="18"/>
    </row>
    <row r="4" spans="1:5" ht="18" customHeight="1" x14ac:dyDescent="0.25">
      <c r="A4" s="2">
        <v>0</v>
      </c>
      <c r="B4" s="23" t="s">
        <v>1</v>
      </c>
      <c r="C4" s="24" t="s">
        <v>2</v>
      </c>
      <c r="D4" s="24" t="s">
        <v>13</v>
      </c>
      <c r="E4" s="25" t="s">
        <v>11</v>
      </c>
    </row>
    <row r="5" spans="1:5" x14ac:dyDescent="0.25">
      <c r="B5" s="4">
        <v>1</v>
      </c>
      <c r="C5" s="8">
        <v>978</v>
      </c>
      <c r="D5" s="7">
        <f>C5-978</f>
        <v>0</v>
      </c>
      <c r="E5" s="17">
        <f>+D5</f>
        <v>0</v>
      </c>
    </row>
    <row r="6" spans="1:5" ht="11.25" customHeight="1" x14ac:dyDescent="0.25">
      <c r="B6" s="4">
        <v>2</v>
      </c>
      <c r="C6" s="8">
        <v>978</v>
      </c>
      <c r="D6" s="7">
        <f>SUM(C6-C5)*10</f>
        <v>0</v>
      </c>
      <c r="E6" s="17">
        <f t="shared" ref="E6:E28" si="0">+D6+E5</f>
        <v>0</v>
      </c>
    </row>
    <row r="7" spans="1:5" ht="11.25" customHeight="1" x14ac:dyDescent="0.25">
      <c r="B7" s="4">
        <v>3</v>
      </c>
      <c r="C7" s="8">
        <v>978</v>
      </c>
      <c r="D7" s="7">
        <f t="shared" ref="D7:D28" si="1">SUM(C7-C6)*10</f>
        <v>0</v>
      </c>
      <c r="E7" s="17">
        <f t="shared" si="0"/>
        <v>0</v>
      </c>
    </row>
    <row r="8" spans="1:5" ht="12" customHeight="1" x14ac:dyDescent="0.25">
      <c r="B8" s="4">
        <v>4</v>
      </c>
      <c r="C8" s="8">
        <v>978</v>
      </c>
      <c r="D8" s="7">
        <f>SUM(C8-C7)*10</f>
        <v>0</v>
      </c>
      <c r="E8" s="17">
        <f>+D8+E7</f>
        <v>0</v>
      </c>
    </row>
    <row r="9" spans="1:5" x14ac:dyDescent="0.25">
      <c r="A9" s="2">
        <v>0</v>
      </c>
      <c r="B9" s="4">
        <v>5</v>
      </c>
      <c r="C9" s="6">
        <v>980</v>
      </c>
      <c r="D9" s="7">
        <f t="shared" si="1"/>
        <v>20</v>
      </c>
      <c r="E9" s="17">
        <f t="shared" si="0"/>
        <v>20</v>
      </c>
    </row>
    <row r="10" spans="1:5" ht="15" customHeight="1" x14ac:dyDescent="0.25">
      <c r="A10" s="2" t="s">
        <v>3</v>
      </c>
      <c r="B10" s="4">
        <v>6</v>
      </c>
      <c r="C10" s="6">
        <v>982</v>
      </c>
      <c r="D10" s="7">
        <f t="shared" si="1"/>
        <v>20</v>
      </c>
      <c r="E10" s="17">
        <f t="shared" si="0"/>
        <v>40</v>
      </c>
    </row>
    <row r="11" spans="1:5" ht="12" customHeight="1" x14ac:dyDescent="0.25">
      <c r="B11" s="4">
        <v>7</v>
      </c>
      <c r="C11" s="6">
        <v>987</v>
      </c>
      <c r="D11" s="7">
        <f t="shared" si="1"/>
        <v>50</v>
      </c>
      <c r="E11" s="17">
        <f t="shared" si="0"/>
        <v>90</v>
      </c>
    </row>
    <row r="12" spans="1:5" ht="15.75" customHeight="1" x14ac:dyDescent="0.25">
      <c r="A12" s="2">
        <v>0</v>
      </c>
      <c r="B12" s="4">
        <v>8</v>
      </c>
      <c r="C12" s="6">
        <v>989</v>
      </c>
      <c r="D12" s="7">
        <f t="shared" si="1"/>
        <v>20</v>
      </c>
      <c r="E12" s="17">
        <f t="shared" si="0"/>
        <v>110</v>
      </c>
    </row>
    <row r="13" spans="1:5" ht="12" customHeight="1" x14ac:dyDescent="0.25">
      <c r="B13" s="4">
        <v>9</v>
      </c>
      <c r="C13" s="6">
        <v>992</v>
      </c>
      <c r="D13" s="7">
        <f t="shared" si="1"/>
        <v>30</v>
      </c>
      <c r="E13" s="17">
        <f t="shared" si="0"/>
        <v>140</v>
      </c>
    </row>
    <row r="14" spans="1:5" ht="14.25" customHeight="1" x14ac:dyDescent="0.25">
      <c r="B14" s="4">
        <v>10</v>
      </c>
      <c r="C14" s="6">
        <v>995</v>
      </c>
      <c r="D14" s="7">
        <f t="shared" si="1"/>
        <v>30</v>
      </c>
      <c r="E14" s="17">
        <f t="shared" si="0"/>
        <v>170</v>
      </c>
    </row>
    <row r="15" spans="1:5" x14ac:dyDescent="0.25">
      <c r="B15" s="4">
        <v>11</v>
      </c>
      <c r="C15" s="6">
        <v>997</v>
      </c>
      <c r="D15" s="7">
        <f t="shared" si="1"/>
        <v>20</v>
      </c>
      <c r="E15" s="17">
        <f t="shared" si="0"/>
        <v>190</v>
      </c>
    </row>
    <row r="16" spans="1:5" x14ac:dyDescent="0.25">
      <c r="A16" s="2">
        <v>0</v>
      </c>
      <c r="B16" s="4">
        <v>12</v>
      </c>
      <c r="C16" s="6">
        <v>999</v>
      </c>
      <c r="D16" s="7">
        <f t="shared" si="1"/>
        <v>20</v>
      </c>
      <c r="E16" s="17">
        <f t="shared" si="0"/>
        <v>210</v>
      </c>
    </row>
    <row r="17" spans="1:5" x14ac:dyDescent="0.25">
      <c r="B17" s="4">
        <v>13</v>
      </c>
      <c r="C17" s="6">
        <v>1001</v>
      </c>
      <c r="D17" s="7">
        <f t="shared" si="1"/>
        <v>20</v>
      </c>
      <c r="E17" s="17">
        <f t="shared" si="0"/>
        <v>230</v>
      </c>
    </row>
    <row r="18" spans="1:5" ht="14.25" customHeight="1" x14ac:dyDescent="0.25">
      <c r="A18" s="3" t="s">
        <v>4</v>
      </c>
      <c r="B18" s="4">
        <v>14</v>
      </c>
      <c r="C18" s="6">
        <v>1003</v>
      </c>
      <c r="D18" s="7">
        <f t="shared" si="1"/>
        <v>20</v>
      </c>
      <c r="E18" s="17">
        <f t="shared" si="0"/>
        <v>250</v>
      </c>
    </row>
    <row r="19" spans="1:5" x14ac:dyDescent="0.25">
      <c r="B19" s="4">
        <v>15</v>
      </c>
      <c r="C19" s="6">
        <v>1005</v>
      </c>
      <c r="D19" s="7">
        <f t="shared" si="1"/>
        <v>20</v>
      </c>
      <c r="E19" s="17">
        <f t="shared" si="0"/>
        <v>270</v>
      </c>
    </row>
    <row r="20" spans="1:5" x14ac:dyDescent="0.25">
      <c r="A20" s="2">
        <v>0</v>
      </c>
      <c r="B20" s="4">
        <v>16</v>
      </c>
      <c r="C20" s="6">
        <v>1007</v>
      </c>
      <c r="D20" s="7">
        <f t="shared" si="1"/>
        <v>20</v>
      </c>
      <c r="E20" s="17">
        <f t="shared" si="0"/>
        <v>290</v>
      </c>
    </row>
    <row r="21" spans="1:5" x14ac:dyDescent="0.25">
      <c r="B21" s="4">
        <v>17</v>
      </c>
      <c r="C21" s="6">
        <v>1009</v>
      </c>
      <c r="D21" s="7">
        <f t="shared" si="1"/>
        <v>20</v>
      </c>
      <c r="E21" s="17">
        <f t="shared" si="0"/>
        <v>310</v>
      </c>
    </row>
    <row r="22" spans="1:5" x14ac:dyDescent="0.25">
      <c r="B22" s="4">
        <v>18</v>
      </c>
      <c r="C22" s="6">
        <v>1011</v>
      </c>
      <c r="D22" s="7">
        <f t="shared" si="1"/>
        <v>20</v>
      </c>
      <c r="E22" s="17">
        <f t="shared" si="0"/>
        <v>330</v>
      </c>
    </row>
    <row r="23" spans="1:5" x14ac:dyDescent="0.25">
      <c r="B23" s="4">
        <v>19</v>
      </c>
      <c r="C23" s="6">
        <v>1013</v>
      </c>
      <c r="D23" s="7">
        <f t="shared" si="1"/>
        <v>20</v>
      </c>
      <c r="E23" s="17">
        <f t="shared" si="0"/>
        <v>350</v>
      </c>
    </row>
    <row r="24" spans="1:5" x14ac:dyDescent="0.25">
      <c r="B24" s="4">
        <v>20</v>
      </c>
      <c r="C24" s="6">
        <v>1015</v>
      </c>
      <c r="D24" s="7">
        <f t="shared" si="1"/>
        <v>20</v>
      </c>
      <c r="E24" s="17">
        <f t="shared" si="0"/>
        <v>370</v>
      </c>
    </row>
    <row r="25" spans="1:5" x14ac:dyDescent="0.25">
      <c r="B25" s="4">
        <v>21</v>
      </c>
      <c r="C25" s="6">
        <v>1017</v>
      </c>
      <c r="D25" s="7">
        <f t="shared" si="1"/>
        <v>20</v>
      </c>
      <c r="E25" s="17">
        <f t="shared" si="0"/>
        <v>390</v>
      </c>
    </row>
    <row r="26" spans="1:5" x14ac:dyDescent="0.25">
      <c r="B26" s="4">
        <v>22</v>
      </c>
      <c r="C26" s="8">
        <v>1019</v>
      </c>
      <c r="D26" s="7">
        <f t="shared" si="1"/>
        <v>20</v>
      </c>
      <c r="E26" s="17">
        <f t="shared" si="0"/>
        <v>410</v>
      </c>
    </row>
    <row r="27" spans="1:5" x14ac:dyDescent="0.25">
      <c r="A27" s="2" t="s">
        <v>5</v>
      </c>
      <c r="B27" s="4">
        <v>23</v>
      </c>
      <c r="C27" s="8"/>
      <c r="D27" s="7">
        <v>0</v>
      </c>
      <c r="E27" s="17">
        <f t="shared" si="0"/>
        <v>410</v>
      </c>
    </row>
    <row r="28" spans="1:5" ht="12.75" customHeight="1" x14ac:dyDescent="0.25">
      <c r="B28" s="4">
        <v>24</v>
      </c>
      <c r="C28" s="8"/>
      <c r="D28" s="7">
        <f t="shared" si="1"/>
        <v>0</v>
      </c>
      <c r="E28" s="17">
        <f t="shared" si="0"/>
        <v>410</v>
      </c>
    </row>
    <row r="29" spans="1:5" ht="15.6" x14ac:dyDescent="0.25">
      <c r="B29" s="12" t="s">
        <v>6</v>
      </c>
      <c r="C29" s="9">
        <f>MAX(C5:C28)</f>
        <v>1019</v>
      </c>
      <c r="D29" s="10">
        <f>MAX(D5:D28)</f>
        <v>50</v>
      </c>
      <c r="E29" s="10">
        <f>MAX(E5:E28)</f>
        <v>410</v>
      </c>
    </row>
    <row r="30" spans="1:5" ht="15.6" x14ac:dyDescent="0.25">
      <c r="B30" s="12" t="s">
        <v>7</v>
      </c>
      <c r="C30" s="9">
        <f>MIN(C5:C28)</f>
        <v>978</v>
      </c>
      <c r="D30" s="10">
        <f>MIN(D5:D28)</f>
        <v>0</v>
      </c>
      <c r="E30" s="10">
        <f>MIN(E5:E28)</f>
        <v>0</v>
      </c>
    </row>
    <row r="31" spans="1:5" ht="15.6" x14ac:dyDescent="0.25">
      <c r="B31" s="13" t="s">
        <v>8</v>
      </c>
      <c r="C31" s="9">
        <f>AVERAGE(C5:C28)</f>
        <v>996.9545454545455</v>
      </c>
      <c r="D31" s="10">
        <f>AVERAGE(D5:D28)</f>
        <v>17.083333333333332</v>
      </c>
      <c r="E31" s="10">
        <f>AVERAGE(E5:E28)</f>
        <v>207.91666666666666</v>
      </c>
    </row>
    <row r="32" spans="1:5" ht="15.75" customHeight="1" thickBot="1" x14ac:dyDescent="0.3">
      <c r="B32" s="14" t="s">
        <v>9</v>
      </c>
      <c r="C32" s="15">
        <f>SUM(C5:C28)</f>
        <v>21933</v>
      </c>
      <c r="D32" s="15">
        <f>SUM(D5:D28)</f>
        <v>410</v>
      </c>
      <c r="E32" s="15">
        <f>SUM(E5:E28)</f>
        <v>4990</v>
      </c>
    </row>
    <row r="33" spans="2:2" hidden="1" x14ac:dyDescent="0.25"/>
    <row r="34" spans="2:2" hidden="1" x14ac:dyDescent="0.25"/>
    <row r="35" spans="2:2" hidden="1" x14ac:dyDescent="0.25"/>
    <row r="36" spans="2:2" hidden="1" x14ac:dyDescent="0.25"/>
    <row r="37" spans="2:2" hidden="1" x14ac:dyDescent="0.25"/>
    <row r="38" spans="2:2" hidden="1" x14ac:dyDescent="0.25"/>
    <row r="41" spans="2:2" x14ac:dyDescent="0.25">
      <c r="B41" s="2" t="s">
        <v>10</v>
      </c>
    </row>
  </sheetData>
  <mergeCells count="2">
    <mergeCell ref="B1:E2"/>
    <mergeCell ref="C3:D3"/>
  </mergeCells>
  <pageMargins left="0.7" right="0.7" top="0.75" bottom="0.75" header="0.3" footer="0.3"/>
  <pageSetup orientation="portrait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4F3B8-71AE-4381-9964-509B96EDFF4B}">
  <sheetPr codeName="Hoja25">
    <tabColor rgb="FFFFFF00"/>
  </sheetPr>
  <dimension ref="A1:E41"/>
  <sheetViews>
    <sheetView zoomScale="120" zoomScaleNormal="120" workbookViewId="0">
      <selection activeCell="D5" sqref="D5"/>
    </sheetView>
  </sheetViews>
  <sheetFormatPr baseColWidth="10" defaultColWidth="11.44140625" defaultRowHeight="13.2" x14ac:dyDescent="0.25"/>
  <cols>
    <col min="1" max="1" width="1.6640625" style="2" customWidth="1"/>
    <col min="2" max="2" width="11.44140625" style="2" customWidth="1"/>
    <col min="3" max="3" width="11.6640625" style="2" customWidth="1"/>
    <col min="4" max="4" width="22" style="2" customWidth="1"/>
    <col min="5" max="5" width="28.5546875" style="2" customWidth="1"/>
    <col min="6" max="16384" width="11.44140625" style="2"/>
  </cols>
  <sheetData>
    <row r="1" spans="1:5" s="1" customFormat="1" ht="12.75" customHeight="1" x14ac:dyDescent="0.3">
      <c r="B1" s="31" t="s">
        <v>12</v>
      </c>
      <c r="C1" s="32"/>
      <c r="D1" s="32"/>
      <c r="E1" s="32"/>
    </row>
    <row r="2" spans="1:5" ht="25.5" customHeight="1" thickBot="1" x14ac:dyDescent="0.3">
      <c r="B2" s="33"/>
      <c r="C2" s="34"/>
      <c r="D2" s="34"/>
      <c r="E2" s="34"/>
    </row>
    <row r="3" spans="1:5" x14ac:dyDescent="0.25">
      <c r="B3" s="11" t="s">
        <v>0</v>
      </c>
      <c r="C3" s="26">
        <v>46159</v>
      </c>
      <c r="D3" s="26"/>
      <c r="E3" s="18"/>
    </row>
    <row r="4" spans="1:5" ht="18" customHeight="1" x14ac:dyDescent="0.25">
      <c r="A4" s="2">
        <v>0</v>
      </c>
      <c r="B4" s="23" t="s">
        <v>1</v>
      </c>
      <c r="C4" s="24" t="s">
        <v>2</v>
      </c>
      <c r="D4" s="24" t="s">
        <v>13</v>
      </c>
      <c r="E4" s="25" t="s">
        <v>11</v>
      </c>
    </row>
    <row r="5" spans="1:5" x14ac:dyDescent="0.25">
      <c r="B5" s="4">
        <v>1</v>
      </c>
      <c r="C5" s="8">
        <v>1019</v>
      </c>
      <c r="D5" s="7">
        <v>0</v>
      </c>
      <c r="E5" s="17">
        <f>+D5</f>
        <v>0</v>
      </c>
    </row>
    <row r="6" spans="1:5" ht="11.25" customHeight="1" x14ac:dyDescent="0.25">
      <c r="B6" s="4">
        <v>2</v>
      </c>
      <c r="C6" s="8">
        <v>1019</v>
      </c>
      <c r="D6" s="7">
        <f>SUM(C6-C5)*10</f>
        <v>0</v>
      </c>
      <c r="E6" s="17">
        <f t="shared" ref="E6:E28" si="0">+D6+E5</f>
        <v>0</v>
      </c>
    </row>
    <row r="7" spans="1:5" ht="11.25" customHeight="1" x14ac:dyDescent="0.25">
      <c r="B7" s="4">
        <v>3</v>
      </c>
      <c r="C7" s="8">
        <v>1019</v>
      </c>
      <c r="D7" s="7">
        <f t="shared" ref="D7:D28" si="1">SUM(C7-C6)*10</f>
        <v>0</v>
      </c>
      <c r="E7" s="17">
        <f t="shared" si="0"/>
        <v>0</v>
      </c>
    </row>
    <row r="8" spans="1:5" ht="12" customHeight="1" x14ac:dyDescent="0.25">
      <c r="B8" s="4">
        <v>4</v>
      </c>
      <c r="C8" s="8">
        <v>1019</v>
      </c>
      <c r="D8" s="7">
        <f>SUM(C8-C7)*10</f>
        <v>0</v>
      </c>
      <c r="E8" s="17">
        <f>+D8+E7</f>
        <v>0</v>
      </c>
    </row>
    <row r="9" spans="1:5" x14ac:dyDescent="0.25">
      <c r="A9" s="2">
        <v>0</v>
      </c>
      <c r="B9" s="4">
        <v>5</v>
      </c>
      <c r="C9" s="6">
        <v>1021</v>
      </c>
      <c r="D9" s="7">
        <f t="shared" si="1"/>
        <v>20</v>
      </c>
      <c r="E9" s="17">
        <f t="shared" si="0"/>
        <v>20</v>
      </c>
    </row>
    <row r="10" spans="1:5" ht="15" customHeight="1" x14ac:dyDescent="0.25">
      <c r="A10" s="2" t="s">
        <v>3</v>
      </c>
      <c r="B10" s="4">
        <v>6</v>
      </c>
      <c r="C10" s="6">
        <v>1023</v>
      </c>
      <c r="D10" s="7">
        <f t="shared" si="1"/>
        <v>20</v>
      </c>
      <c r="E10" s="17">
        <f t="shared" si="0"/>
        <v>40</v>
      </c>
    </row>
    <row r="11" spans="1:5" ht="12" customHeight="1" x14ac:dyDescent="0.25">
      <c r="B11" s="4">
        <v>7</v>
      </c>
      <c r="C11" s="6">
        <v>1025</v>
      </c>
      <c r="D11" s="7">
        <f t="shared" si="1"/>
        <v>20</v>
      </c>
      <c r="E11" s="17">
        <f t="shared" si="0"/>
        <v>60</v>
      </c>
    </row>
    <row r="12" spans="1:5" ht="15.75" customHeight="1" x14ac:dyDescent="0.25">
      <c r="A12" s="2">
        <v>0</v>
      </c>
      <c r="B12" s="4">
        <v>8</v>
      </c>
      <c r="C12" s="6">
        <v>1028</v>
      </c>
      <c r="D12" s="7">
        <f t="shared" si="1"/>
        <v>30</v>
      </c>
      <c r="E12" s="17">
        <f t="shared" si="0"/>
        <v>90</v>
      </c>
    </row>
    <row r="13" spans="1:5" ht="12" customHeight="1" x14ac:dyDescent="0.25">
      <c r="B13" s="4">
        <v>9</v>
      </c>
      <c r="C13" s="6">
        <v>1030</v>
      </c>
      <c r="D13" s="7">
        <f t="shared" si="1"/>
        <v>20</v>
      </c>
      <c r="E13" s="17">
        <f t="shared" si="0"/>
        <v>110</v>
      </c>
    </row>
    <row r="14" spans="1:5" ht="14.25" customHeight="1" x14ac:dyDescent="0.25">
      <c r="B14" s="4">
        <v>10</v>
      </c>
      <c r="C14" s="6">
        <v>1032</v>
      </c>
      <c r="D14" s="7">
        <f t="shared" si="1"/>
        <v>20</v>
      </c>
      <c r="E14" s="17">
        <f t="shared" si="0"/>
        <v>130</v>
      </c>
    </row>
    <row r="15" spans="1:5" x14ac:dyDescent="0.25">
      <c r="B15" s="4">
        <v>11</v>
      </c>
      <c r="C15" s="6">
        <v>1034</v>
      </c>
      <c r="D15" s="7">
        <f t="shared" si="1"/>
        <v>20</v>
      </c>
      <c r="E15" s="17">
        <f t="shared" si="0"/>
        <v>150</v>
      </c>
    </row>
    <row r="16" spans="1:5" x14ac:dyDescent="0.25">
      <c r="A16" s="2">
        <v>0</v>
      </c>
      <c r="B16" s="4">
        <v>12</v>
      </c>
      <c r="C16" s="6">
        <v>1036</v>
      </c>
      <c r="D16" s="7">
        <f t="shared" si="1"/>
        <v>20</v>
      </c>
      <c r="E16" s="17">
        <f t="shared" si="0"/>
        <v>170</v>
      </c>
    </row>
    <row r="17" spans="1:5" x14ac:dyDescent="0.25">
      <c r="B17" s="4">
        <v>13</v>
      </c>
      <c r="C17" s="6">
        <v>1038</v>
      </c>
      <c r="D17" s="7">
        <f t="shared" si="1"/>
        <v>20</v>
      </c>
      <c r="E17" s="17">
        <f t="shared" si="0"/>
        <v>190</v>
      </c>
    </row>
    <row r="18" spans="1:5" ht="14.25" customHeight="1" x14ac:dyDescent="0.25">
      <c r="A18" s="3" t="s">
        <v>4</v>
      </c>
      <c r="B18" s="4">
        <v>14</v>
      </c>
      <c r="C18" s="6">
        <v>1040</v>
      </c>
      <c r="D18" s="7">
        <f t="shared" si="1"/>
        <v>20</v>
      </c>
      <c r="E18" s="17">
        <f t="shared" si="0"/>
        <v>210</v>
      </c>
    </row>
    <row r="19" spans="1:5" x14ac:dyDescent="0.25">
      <c r="B19" s="4">
        <v>15</v>
      </c>
      <c r="C19" s="6">
        <v>1042</v>
      </c>
      <c r="D19" s="7">
        <f t="shared" si="1"/>
        <v>20</v>
      </c>
      <c r="E19" s="17">
        <f t="shared" si="0"/>
        <v>230</v>
      </c>
    </row>
    <row r="20" spans="1:5" x14ac:dyDescent="0.25">
      <c r="A20" s="2">
        <v>0</v>
      </c>
      <c r="B20" s="4">
        <v>16</v>
      </c>
      <c r="C20" s="6">
        <v>1044</v>
      </c>
      <c r="D20" s="7">
        <f t="shared" si="1"/>
        <v>20</v>
      </c>
      <c r="E20" s="17">
        <f t="shared" si="0"/>
        <v>250</v>
      </c>
    </row>
    <row r="21" spans="1:5" x14ac:dyDescent="0.25">
      <c r="B21" s="4">
        <v>17</v>
      </c>
      <c r="C21" s="6">
        <v>1046</v>
      </c>
      <c r="D21" s="7">
        <f t="shared" si="1"/>
        <v>20</v>
      </c>
      <c r="E21" s="17">
        <f t="shared" si="0"/>
        <v>270</v>
      </c>
    </row>
    <row r="22" spans="1:5" x14ac:dyDescent="0.25">
      <c r="B22" s="4">
        <v>18</v>
      </c>
      <c r="C22" s="6">
        <v>1048</v>
      </c>
      <c r="D22" s="7">
        <f t="shared" si="1"/>
        <v>20</v>
      </c>
      <c r="E22" s="17">
        <f t="shared" si="0"/>
        <v>290</v>
      </c>
    </row>
    <row r="23" spans="1:5" x14ac:dyDescent="0.25">
      <c r="B23" s="4">
        <v>19</v>
      </c>
      <c r="C23" s="6">
        <v>1050</v>
      </c>
      <c r="D23" s="7">
        <f t="shared" si="1"/>
        <v>20</v>
      </c>
      <c r="E23" s="17">
        <f t="shared" si="0"/>
        <v>310</v>
      </c>
    </row>
    <row r="24" spans="1:5" x14ac:dyDescent="0.25">
      <c r="B24" s="4">
        <v>20</v>
      </c>
      <c r="C24" s="6">
        <v>1052</v>
      </c>
      <c r="D24" s="7">
        <f t="shared" si="1"/>
        <v>20</v>
      </c>
      <c r="E24" s="17">
        <f t="shared" si="0"/>
        <v>330</v>
      </c>
    </row>
    <row r="25" spans="1:5" x14ac:dyDescent="0.25">
      <c r="B25" s="4">
        <v>21</v>
      </c>
      <c r="C25" s="6">
        <v>1054</v>
      </c>
      <c r="D25" s="7">
        <f t="shared" si="1"/>
        <v>20</v>
      </c>
      <c r="E25" s="17">
        <f t="shared" si="0"/>
        <v>350</v>
      </c>
    </row>
    <row r="26" spans="1:5" x14ac:dyDescent="0.25">
      <c r="B26" s="4">
        <v>22</v>
      </c>
      <c r="C26" s="6">
        <v>1056</v>
      </c>
      <c r="D26" s="7">
        <f t="shared" si="1"/>
        <v>20</v>
      </c>
      <c r="E26" s="17">
        <f t="shared" si="0"/>
        <v>370</v>
      </c>
    </row>
    <row r="27" spans="1:5" x14ac:dyDescent="0.25">
      <c r="A27" s="2" t="s">
        <v>5</v>
      </c>
      <c r="B27" s="4">
        <v>23</v>
      </c>
      <c r="C27" s="6">
        <v>1056</v>
      </c>
      <c r="D27" s="7">
        <f t="shared" si="1"/>
        <v>0</v>
      </c>
      <c r="E27" s="17">
        <f t="shared" si="0"/>
        <v>370</v>
      </c>
    </row>
    <row r="28" spans="1:5" ht="12.75" customHeight="1" x14ac:dyDescent="0.25">
      <c r="B28" s="4">
        <v>24</v>
      </c>
      <c r="C28" s="6">
        <v>1056</v>
      </c>
      <c r="D28" s="7">
        <f t="shared" si="1"/>
        <v>0</v>
      </c>
      <c r="E28" s="17">
        <f t="shared" si="0"/>
        <v>370</v>
      </c>
    </row>
    <row r="29" spans="1:5" ht="15.6" x14ac:dyDescent="0.25">
      <c r="B29" s="12" t="s">
        <v>6</v>
      </c>
      <c r="C29" s="9">
        <f>MAX(C5:C28)</f>
        <v>1056</v>
      </c>
      <c r="D29" s="10">
        <f>MAX(D5:D28)</f>
        <v>30</v>
      </c>
      <c r="E29" s="10">
        <f>MAX(E5:E28)</f>
        <v>370</v>
      </c>
    </row>
    <row r="30" spans="1:5" ht="15.6" x14ac:dyDescent="0.25">
      <c r="B30" s="12" t="s">
        <v>7</v>
      </c>
      <c r="C30" s="9">
        <f>MIN(C5:C28)</f>
        <v>1019</v>
      </c>
      <c r="D30" s="10">
        <f>MIN(D5:D28)</f>
        <v>0</v>
      </c>
      <c r="E30" s="10">
        <f>MIN(E5:E28)</f>
        <v>0</v>
      </c>
    </row>
    <row r="31" spans="1:5" ht="15.6" x14ac:dyDescent="0.25">
      <c r="B31" s="13" t="s">
        <v>8</v>
      </c>
      <c r="C31" s="9">
        <f>AVERAGE(C5:C28)</f>
        <v>1036.9583333333333</v>
      </c>
      <c r="D31" s="10">
        <f>AVERAGE(D5:D28)</f>
        <v>15.416666666666666</v>
      </c>
      <c r="E31" s="10">
        <f>AVERAGE(E5:E28)</f>
        <v>179.58333333333334</v>
      </c>
    </row>
    <row r="32" spans="1:5" ht="15.75" customHeight="1" thickBot="1" x14ac:dyDescent="0.3">
      <c r="B32" s="14" t="s">
        <v>9</v>
      </c>
      <c r="C32" s="15">
        <f>SUM(C5:C28)</f>
        <v>24887</v>
      </c>
      <c r="D32" s="15">
        <f>SUM(D5:D28)</f>
        <v>370</v>
      </c>
      <c r="E32" s="15">
        <f>SUM(E5:E28)</f>
        <v>4310</v>
      </c>
    </row>
    <row r="33" spans="2:2" hidden="1" x14ac:dyDescent="0.25"/>
    <row r="34" spans="2:2" hidden="1" x14ac:dyDescent="0.25"/>
    <row r="35" spans="2:2" hidden="1" x14ac:dyDescent="0.25"/>
    <row r="36" spans="2:2" hidden="1" x14ac:dyDescent="0.25"/>
    <row r="37" spans="2:2" hidden="1" x14ac:dyDescent="0.25"/>
    <row r="38" spans="2:2" hidden="1" x14ac:dyDescent="0.25"/>
    <row r="41" spans="2:2" x14ac:dyDescent="0.25">
      <c r="B41" s="2" t="s">
        <v>10</v>
      </c>
    </row>
  </sheetData>
  <mergeCells count="2">
    <mergeCell ref="B1:E2"/>
    <mergeCell ref="C3:D3"/>
  </mergeCells>
  <pageMargins left="0.7" right="0.7" top="0.75" bottom="0.75" header="0.3" footer="0.3"/>
  <pageSetup orientation="portrait" r:id="rId1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7953A-1245-4BE8-A810-49888F28CE08}">
  <sheetPr codeName="Hoja26">
    <tabColor rgb="FFFFFF00"/>
  </sheetPr>
  <dimension ref="A1:E41"/>
  <sheetViews>
    <sheetView zoomScale="120" zoomScaleNormal="120" workbookViewId="0">
      <selection activeCell="D5" sqref="D5"/>
    </sheetView>
  </sheetViews>
  <sheetFormatPr baseColWidth="10" defaultColWidth="11.44140625" defaultRowHeight="13.2" x14ac:dyDescent="0.25"/>
  <cols>
    <col min="1" max="1" width="1.6640625" style="2" customWidth="1"/>
    <col min="2" max="2" width="11.44140625" style="2" customWidth="1"/>
    <col min="3" max="3" width="11.6640625" style="2" customWidth="1"/>
    <col min="4" max="4" width="22" style="2" customWidth="1"/>
    <col min="5" max="5" width="28.5546875" style="2" customWidth="1"/>
    <col min="6" max="16384" width="11.44140625" style="2"/>
  </cols>
  <sheetData>
    <row r="1" spans="1:5" s="1" customFormat="1" ht="12.75" customHeight="1" x14ac:dyDescent="0.3">
      <c r="B1" s="31" t="s">
        <v>12</v>
      </c>
      <c r="C1" s="32"/>
      <c r="D1" s="32"/>
      <c r="E1" s="32"/>
    </row>
    <row r="2" spans="1:5" ht="25.5" customHeight="1" thickBot="1" x14ac:dyDescent="0.3">
      <c r="B2" s="33"/>
      <c r="C2" s="34"/>
      <c r="D2" s="34"/>
      <c r="E2" s="34"/>
    </row>
    <row r="3" spans="1:5" x14ac:dyDescent="0.25">
      <c r="B3" s="11" t="s">
        <v>0</v>
      </c>
      <c r="C3" s="26">
        <v>46159</v>
      </c>
      <c r="D3" s="26"/>
      <c r="E3" s="18"/>
    </row>
    <row r="4" spans="1:5" ht="18" customHeight="1" x14ac:dyDescent="0.25">
      <c r="A4" s="2">
        <v>0</v>
      </c>
      <c r="B4" s="23" t="s">
        <v>1</v>
      </c>
      <c r="C4" s="24" t="s">
        <v>2</v>
      </c>
      <c r="D4" s="24" t="s">
        <v>13</v>
      </c>
      <c r="E4" s="25" t="s">
        <v>11</v>
      </c>
    </row>
    <row r="5" spans="1:5" x14ac:dyDescent="0.25">
      <c r="B5" s="4">
        <v>1</v>
      </c>
      <c r="C5" s="8">
        <v>1056</v>
      </c>
      <c r="D5" s="7">
        <v>0</v>
      </c>
      <c r="E5" s="17">
        <f>+D5</f>
        <v>0</v>
      </c>
    </row>
    <row r="6" spans="1:5" ht="11.25" customHeight="1" x14ac:dyDescent="0.25">
      <c r="B6" s="4">
        <v>2</v>
      </c>
      <c r="C6" s="8">
        <v>1056</v>
      </c>
      <c r="D6" s="7">
        <f>SUM(C6-C5)*10</f>
        <v>0</v>
      </c>
      <c r="E6" s="17">
        <f t="shared" ref="E6:E28" si="0">+D6+E5</f>
        <v>0</v>
      </c>
    </row>
    <row r="7" spans="1:5" ht="11.25" customHeight="1" x14ac:dyDescent="0.25">
      <c r="B7" s="4">
        <v>3</v>
      </c>
      <c r="C7" s="8">
        <v>1056</v>
      </c>
      <c r="D7" s="7">
        <f t="shared" ref="D7:D28" si="1">SUM(C7-C6)*10</f>
        <v>0</v>
      </c>
      <c r="E7" s="17">
        <f t="shared" si="0"/>
        <v>0</v>
      </c>
    </row>
    <row r="8" spans="1:5" ht="12" customHeight="1" x14ac:dyDescent="0.25">
      <c r="B8" s="4">
        <v>4</v>
      </c>
      <c r="C8" s="8">
        <v>1056</v>
      </c>
      <c r="D8" s="7">
        <f>SUM(C8-C7)*10</f>
        <v>0</v>
      </c>
      <c r="E8" s="17">
        <f>+D8+E7</f>
        <v>0</v>
      </c>
    </row>
    <row r="9" spans="1:5" x14ac:dyDescent="0.25">
      <c r="A9" s="2">
        <v>0</v>
      </c>
      <c r="B9" s="4">
        <v>5</v>
      </c>
      <c r="C9" s="6">
        <v>1059</v>
      </c>
      <c r="D9" s="7">
        <f t="shared" si="1"/>
        <v>30</v>
      </c>
      <c r="E9" s="17">
        <f t="shared" si="0"/>
        <v>30</v>
      </c>
    </row>
    <row r="10" spans="1:5" ht="15" customHeight="1" x14ac:dyDescent="0.25">
      <c r="A10" s="2" t="s">
        <v>3</v>
      </c>
      <c r="B10" s="4">
        <v>6</v>
      </c>
      <c r="C10" s="6">
        <v>1062</v>
      </c>
      <c r="D10" s="7">
        <f t="shared" si="1"/>
        <v>30</v>
      </c>
      <c r="E10" s="17">
        <f t="shared" si="0"/>
        <v>60</v>
      </c>
    </row>
    <row r="11" spans="1:5" ht="12" customHeight="1" x14ac:dyDescent="0.25">
      <c r="B11" s="4">
        <v>7</v>
      </c>
      <c r="C11" s="6">
        <v>1065</v>
      </c>
      <c r="D11" s="7">
        <f t="shared" si="1"/>
        <v>30</v>
      </c>
      <c r="E11" s="17">
        <f t="shared" si="0"/>
        <v>90</v>
      </c>
    </row>
    <row r="12" spans="1:5" ht="15.75" customHeight="1" x14ac:dyDescent="0.25">
      <c r="A12" s="2">
        <v>0</v>
      </c>
      <c r="B12" s="4">
        <v>8</v>
      </c>
      <c r="C12" s="6">
        <v>1068</v>
      </c>
      <c r="D12" s="7">
        <f t="shared" si="1"/>
        <v>30</v>
      </c>
      <c r="E12" s="17">
        <f t="shared" si="0"/>
        <v>120</v>
      </c>
    </row>
    <row r="13" spans="1:5" ht="12" customHeight="1" x14ac:dyDescent="0.25">
      <c r="B13" s="4">
        <v>9</v>
      </c>
      <c r="C13" s="6">
        <v>1071</v>
      </c>
      <c r="D13" s="7">
        <f t="shared" si="1"/>
        <v>30</v>
      </c>
      <c r="E13" s="17">
        <f t="shared" si="0"/>
        <v>150</v>
      </c>
    </row>
    <row r="14" spans="1:5" ht="14.25" customHeight="1" x14ac:dyDescent="0.25">
      <c r="B14" s="4">
        <v>10</v>
      </c>
      <c r="C14" s="6">
        <v>1074</v>
      </c>
      <c r="D14" s="7">
        <f t="shared" si="1"/>
        <v>30</v>
      </c>
      <c r="E14" s="17">
        <f t="shared" si="0"/>
        <v>180</v>
      </c>
    </row>
    <row r="15" spans="1:5" x14ac:dyDescent="0.25">
      <c r="B15" s="4">
        <v>11</v>
      </c>
      <c r="C15" s="6">
        <v>1077</v>
      </c>
      <c r="D15" s="7">
        <f t="shared" si="1"/>
        <v>30</v>
      </c>
      <c r="E15" s="17">
        <f t="shared" si="0"/>
        <v>210</v>
      </c>
    </row>
    <row r="16" spans="1:5" x14ac:dyDescent="0.25">
      <c r="A16" s="2">
        <v>0</v>
      </c>
      <c r="B16" s="4">
        <v>12</v>
      </c>
      <c r="C16" s="6">
        <v>1080</v>
      </c>
      <c r="D16" s="7">
        <f t="shared" si="1"/>
        <v>30</v>
      </c>
      <c r="E16" s="17">
        <f t="shared" si="0"/>
        <v>240</v>
      </c>
    </row>
    <row r="17" spans="1:5" x14ac:dyDescent="0.25">
      <c r="B17" s="4">
        <v>13</v>
      </c>
      <c r="C17" s="6">
        <v>1083</v>
      </c>
      <c r="D17" s="7">
        <f t="shared" si="1"/>
        <v>30</v>
      </c>
      <c r="E17" s="17">
        <f t="shared" si="0"/>
        <v>270</v>
      </c>
    </row>
    <row r="18" spans="1:5" ht="14.25" customHeight="1" x14ac:dyDescent="0.25">
      <c r="A18" s="3" t="s">
        <v>4</v>
      </c>
      <c r="B18" s="4">
        <v>14</v>
      </c>
      <c r="C18" s="6">
        <v>1086</v>
      </c>
      <c r="D18" s="7">
        <f t="shared" si="1"/>
        <v>30</v>
      </c>
      <c r="E18" s="17">
        <f t="shared" si="0"/>
        <v>300</v>
      </c>
    </row>
    <row r="19" spans="1:5" x14ac:dyDescent="0.25">
      <c r="B19" s="4">
        <v>15</v>
      </c>
      <c r="C19" s="6">
        <v>1089</v>
      </c>
      <c r="D19" s="7">
        <f t="shared" si="1"/>
        <v>30</v>
      </c>
      <c r="E19" s="17">
        <f t="shared" si="0"/>
        <v>330</v>
      </c>
    </row>
    <row r="20" spans="1:5" x14ac:dyDescent="0.25">
      <c r="A20" s="2">
        <v>0</v>
      </c>
      <c r="B20" s="4">
        <v>16</v>
      </c>
      <c r="C20" s="6">
        <v>1092</v>
      </c>
      <c r="D20" s="7">
        <f t="shared" si="1"/>
        <v>30</v>
      </c>
      <c r="E20" s="17">
        <f t="shared" si="0"/>
        <v>360</v>
      </c>
    </row>
    <row r="21" spans="1:5" x14ac:dyDescent="0.25">
      <c r="B21" s="4">
        <v>17</v>
      </c>
      <c r="C21" s="6">
        <v>1095</v>
      </c>
      <c r="D21" s="7">
        <f t="shared" si="1"/>
        <v>30</v>
      </c>
      <c r="E21" s="17">
        <f t="shared" si="0"/>
        <v>390</v>
      </c>
    </row>
    <row r="22" spans="1:5" x14ac:dyDescent="0.25">
      <c r="B22" s="4">
        <v>18</v>
      </c>
      <c r="C22" s="6">
        <v>1098</v>
      </c>
      <c r="D22" s="7">
        <f t="shared" si="1"/>
        <v>30</v>
      </c>
      <c r="E22" s="17">
        <f t="shared" si="0"/>
        <v>420</v>
      </c>
    </row>
    <row r="23" spans="1:5" x14ac:dyDescent="0.25">
      <c r="B23" s="4">
        <v>19</v>
      </c>
      <c r="C23" s="6">
        <v>1100</v>
      </c>
      <c r="D23" s="7">
        <f t="shared" si="1"/>
        <v>20</v>
      </c>
      <c r="E23" s="17">
        <f t="shared" si="0"/>
        <v>440</v>
      </c>
    </row>
    <row r="24" spans="1:5" x14ac:dyDescent="0.25">
      <c r="B24" s="4">
        <v>20</v>
      </c>
      <c r="C24" s="6">
        <v>1102</v>
      </c>
      <c r="D24" s="7">
        <f t="shared" si="1"/>
        <v>20</v>
      </c>
      <c r="E24" s="17">
        <f t="shared" si="0"/>
        <v>460</v>
      </c>
    </row>
    <row r="25" spans="1:5" x14ac:dyDescent="0.25">
      <c r="B25" s="4">
        <v>21</v>
      </c>
      <c r="C25" s="6">
        <v>1104</v>
      </c>
      <c r="D25" s="7">
        <f t="shared" si="1"/>
        <v>20</v>
      </c>
      <c r="E25" s="17">
        <f t="shared" si="0"/>
        <v>480</v>
      </c>
    </row>
    <row r="26" spans="1:5" x14ac:dyDescent="0.25">
      <c r="B26" s="4">
        <v>22</v>
      </c>
      <c r="C26" s="6">
        <v>1106</v>
      </c>
      <c r="D26" s="7">
        <f t="shared" si="1"/>
        <v>20</v>
      </c>
      <c r="E26" s="17">
        <f t="shared" si="0"/>
        <v>500</v>
      </c>
    </row>
    <row r="27" spans="1:5" x14ac:dyDescent="0.25">
      <c r="A27" s="2" t="s">
        <v>5</v>
      </c>
      <c r="B27" s="4">
        <v>23</v>
      </c>
      <c r="C27" s="6">
        <v>1106</v>
      </c>
      <c r="D27" s="7">
        <f t="shared" si="1"/>
        <v>0</v>
      </c>
      <c r="E27" s="17">
        <f t="shared" si="0"/>
        <v>500</v>
      </c>
    </row>
    <row r="28" spans="1:5" ht="12.75" customHeight="1" x14ac:dyDescent="0.25">
      <c r="B28" s="4">
        <v>24</v>
      </c>
      <c r="C28" s="6">
        <v>1106</v>
      </c>
      <c r="D28" s="7">
        <f t="shared" si="1"/>
        <v>0</v>
      </c>
      <c r="E28" s="17">
        <f t="shared" si="0"/>
        <v>500</v>
      </c>
    </row>
    <row r="29" spans="1:5" ht="15.6" x14ac:dyDescent="0.25">
      <c r="B29" s="12" t="s">
        <v>6</v>
      </c>
      <c r="C29" s="9">
        <f>MAX(C5:C28)</f>
        <v>1106</v>
      </c>
      <c r="D29" s="10">
        <f>MAX(D5:D28)</f>
        <v>30</v>
      </c>
      <c r="E29" s="10">
        <f>MAX(E5:E28)</f>
        <v>500</v>
      </c>
    </row>
    <row r="30" spans="1:5" ht="15.6" x14ac:dyDescent="0.25">
      <c r="B30" s="12" t="s">
        <v>7</v>
      </c>
      <c r="C30" s="9">
        <f>MIN(C5:C28)</f>
        <v>1056</v>
      </c>
      <c r="D30" s="10">
        <f>MIN(D5:D28)</f>
        <v>0</v>
      </c>
      <c r="E30" s="10">
        <f>MIN(E5:E28)</f>
        <v>0</v>
      </c>
    </row>
    <row r="31" spans="1:5" ht="15.6" x14ac:dyDescent="0.25">
      <c r="B31" s="13" t="s">
        <v>8</v>
      </c>
      <c r="C31" s="9">
        <f>AVERAGE(C5:C28)</f>
        <v>1081.125</v>
      </c>
      <c r="D31" s="10">
        <f>AVERAGE(D5:D28)</f>
        <v>20.833333333333332</v>
      </c>
      <c r="E31" s="10">
        <f>AVERAGE(E5:E28)</f>
        <v>251.25</v>
      </c>
    </row>
    <row r="32" spans="1:5" ht="15.75" customHeight="1" thickBot="1" x14ac:dyDescent="0.3">
      <c r="B32" s="14" t="s">
        <v>9</v>
      </c>
      <c r="C32" s="15">
        <f>SUM(C5:C28)</f>
        <v>25947</v>
      </c>
      <c r="D32" s="15">
        <f>SUM(D5:D28)</f>
        <v>500</v>
      </c>
      <c r="E32" s="15">
        <f>SUM(E5:E28)</f>
        <v>6030</v>
      </c>
    </row>
    <row r="33" spans="2:2" hidden="1" x14ac:dyDescent="0.25"/>
    <row r="34" spans="2:2" hidden="1" x14ac:dyDescent="0.25"/>
    <row r="35" spans="2:2" hidden="1" x14ac:dyDescent="0.25"/>
    <row r="36" spans="2:2" hidden="1" x14ac:dyDescent="0.25"/>
    <row r="37" spans="2:2" hidden="1" x14ac:dyDescent="0.25"/>
    <row r="38" spans="2:2" hidden="1" x14ac:dyDescent="0.25"/>
    <row r="41" spans="2:2" x14ac:dyDescent="0.25">
      <c r="B41" s="2" t="s">
        <v>10</v>
      </c>
    </row>
  </sheetData>
  <mergeCells count="2">
    <mergeCell ref="B1:E2"/>
    <mergeCell ref="C3:D3"/>
  </mergeCells>
  <pageMargins left="0.7" right="0.7" top="0.75" bottom="0.75" header="0.3" footer="0.3"/>
  <pageSetup orientation="portrait" r:id="rId1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E0CEA-9859-41BB-A3CF-7A50463278EE}">
  <sheetPr codeName="Hoja27">
    <tabColor rgb="FFFFFF00"/>
  </sheetPr>
  <dimension ref="A1:E41"/>
  <sheetViews>
    <sheetView zoomScale="120" zoomScaleNormal="120" workbookViewId="0">
      <selection activeCell="D5" sqref="D5"/>
    </sheetView>
  </sheetViews>
  <sheetFormatPr baseColWidth="10" defaultColWidth="11.44140625" defaultRowHeight="13.2" x14ac:dyDescent="0.25"/>
  <cols>
    <col min="1" max="1" width="1.6640625" style="2" customWidth="1"/>
    <col min="2" max="2" width="11.44140625" style="2" customWidth="1"/>
    <col min="3" max="3" width="11.6640625" style="2" customWidth="1"/>
    <col min="4" max="4" width="22" style="2" customWidth="1"/>
    <col min="5" max="5" width="28.5546875" style="2" customWidth="1"/>
    <col min="6" max="16384" width="11.44140625" style="2"/>
  </cols>
  <sheetData>
    <row r="1" spans="1:5" s="1" customFormat="1" ht="12.75" customHeight="1" x14ac:dyDescent="0.3">
      <c r="B1" s="31" t="s">
        <v>12</v>
      </c>
      <c r="C1" s="32"/>
      <c r="D1" s="32"/>
      <c r="E1" s="32"/>
    </row>
    <row r="2" spans="1:5" ht="25.5" customHeight="1" thickBot="1" x14ac:dyDescent="0.3">
      <c r="B2" s="33"/>
      <c r="C2" s="34"/>
      <c r="D2" s="34"/>
      <c r="E2" s="34"/>
    </row>
    <row r="3" spans="1:5" x14ac:dyDescent="0.25">
      <c r="B3" s="11" t="s">
        <v>0</v>
      </c>
      <c r="C3" s="26">
        <v>46159</v>
      </c>
      <c r="D3" s="26"/>
      <c r="E3" s="18"/>
    </row>
    <row r="4" spans="1:5" ht="18" customHeight="1" x14ac:dyDescent="0.25">
      <c r="A4" s="2">
        <v>0</v>
      </c>
      <c r="B4" s="23" t="s">
        <v>1</v>
      </c>
      <c r="C4" s="24" t="s">
        <v>2</v>
      </c>
      <c r="D4" s="24" t="s">
        <v>13</v>
      </c>
      <c r="E4" s="25" t="s">
        <v>11</v>
      </c>
    </row>
    <row r="5" spans="1:5" x14ac:dyDescent="0.25">
      <c r="B5" s="4">
        <v>1</v>
      </c>
      <c r="C5" s="6">
        <v>1106</v>
      </c>
      <c r="D5" s="7">
        <v>0</v>
      </c>
      <c r="E5" s="17">
        <f>+D5</f>
        <v>0</v>
      </c>
    </row>
    <row r="6" spans="1:5" ht="11.25" customHeight="1" x14ac:dyDescent="0.25">
      <c r="B6" s="4">
        <v>2</v>
      </c>
      <c r="C6" s="6">
        <v>1106</v>
      </c>
      <c r="D6" s="7">
        <f>SUM(C6-C5)*10</f>
        <v>0</v>
      </c>
      <c r="E6" s="17">
        <f t="shared" ref="E6:E28" si="0">+D6+E5</f>
        <v>0</v>
      </c>
    </row>
    <row r="7" spans="1:5" ht="11.25" customHeight="1" x14ac:dyDescent="0.25">
      <c r="B7" s="4">
        <v>3</v>
      </c>
      <c r="C7" s="6">
        <v>1106</v>
      </c>
      <c r="D7" s="7">
        <f t="shared" ref="D7:D28" si="1">SUM(C7-C6)*10</f>
        <v>0</v>
      </c>
      <c r="E7" s="17">
        <f t="shared" si="0"/>
        <v>0</v>
      </c>
    </row>
    <row r="8" spans="1:5" ht="12" customHeight="1" x14ac:dyDescent="0.25">
      <c r="B8" s="4">
        <v>4</v>
      </c>
      <c r="C8" s="6">
        <v>1106</v>
      </c>
      <c r="D8" s="7">
        <f>SUM(C8-C7)*10</f>
        <v>0</v>
      </c>
      <c r="E8" s="17">
        <f>+D8+E7</f>
        <v>0</v>
      </c>
    </row>
    <row r="9" spans="1:5" x14ac:dyDescent="0.25">
      <c r="A9" s="2">
        <v>0</v>
      </c>
      <c r="B9" s="4">
        <v>5</v>
      </c>
      <c r="C9" s="6">
        <v>1108</v>
      </c>
      <c r="D9" s="7">
        <f t="shared" si="1"/>
        <v>20</v>
      </c>
      <c r="E9" s="17">
        <f t="shared" si="0"/>
        <v>20</v>
      </c>
    </row>
    <row r="10" spans="1:5" ht="15" customHeight="1" x14ac:dyDescent="0.25">
      <c r="A10" s="2" t="s">
        <v>3</v>
      </c>
      <c r="B10" s="4">
        <v>6</v>
      </c>
      <c r="C10" s="6">
        <v>1111</v>
      </c>
      <c r="D10" s="7">
        <f t="shared" si="1"/>
        <v>30</v>
      </c>
      <c r="E10" s="17">
        <f t="shared" si="0"/>
        <v>50</v>
      </c>
    </row>
    <row r="11" spans="1:5" ht="12" customHeight="1" x14ac:dyDescent="0.25">
      <c r="B11" s="4">
        <v>7</v>
      </c>
      <c r="C11" s="6">
        <v>1114</v>
      </c>
      <c r="D11" s="7">
        <f t="shared" si="1"/>
        <v>30</v>
      </c>
      <c r="E11" s="17">
        <f t="shared" si="0"/>
        <v>80</v>
      </c>
    </row>
    <row r="12" spans="1:5" ht="15.75" customHeight="1" x14ac:dyDescent="0.25">
      <c r="A12" s="2">
        <v>0</v>
      </c>
      <c r="B12" s="4">
        <v>8</v>
      </c>
      <c r="C12" s="6">
        <v>1117</v>
      </c>
      <c r="D12" s="7">
        <f t="shared" si="1"/>
        <v>30</v>
      </c>
      <c r="E12" s="17">
        <f t="shared" si="0"/>
        <v>110</v>
      </c>
    </row>
    <row r="13" spans="1:5" ht="12" customHeight="1" x14ac:dyDescent="0.25">
      <c r="B13" s="4">
        <v>9</v>
      </c>
      <c r="C13" s="6">
        <v>1120</v>
      </c>
      <c r="D13" s="7">
        <f t="shared" si="1"/>
        <v>30</v>
      </c>
      <c r="E13" s="17">
        <f t="shared" si="0"/>
        <v>140</v>
      </c>
    </row>
    <row r="14" spans="1:5" ht="14.25" customHeight="1" x14ac:dyDescent="0.25">
      <c r="B14" s="4">
        <v>10</v>
      </c>
      <c r="C14" s="6">
        <v>1124</v>
      </c>
      <c r="D14" s="7">
        <f t="shared" si="1"/>
        <v>40</v>
      </c>
      <c r="E14" s="17">
        <f t="shared" si="0"/>
        <v>180</v>
      </c>
    </row>
    <row r="15" spans="1:5" x14ac:dyDescent="0.25">
      <c r="B15" s="4">
        <v>11</v>
      </c>
      <c r="C15" s="6">
        <v>1127</v>
      </c>
      <c r="D15" s="7">
        <f t="shared" si="1"/>
        <v>30</v>
      </c>
      <c r="E15" s="17">
        <f t="shared" si="0"/>
        <v>210</v>
      </c>
    </row>
    <row r="16" spans="1:5" x14ac:dyDescent="0.25">
      <c r="A16" s="2">
        <v>0</v>
      </c>
      <c r="B16" s="4">
        <v>12</v>
      </c>
      <c r="C16" s="6">
        <v>1130</v>
      </c>
      <c r="D16" s="7">
        <f t="shared" si="1"/>
        <v>30</v>
      </c>
      <c r="E16" s="17">
        <f t="shared" si="0"/>
        <v>240</v>
      </c>
    </row>
    <row r="17" spans="1:5" x14ac:dyDescent="0.25">
      <c r="B17" s="4">
        <v>13</v>
      </c>
      <c r="C17" s="6">
        <v>1133</v>
      </c>
      <c r="D17" s="7">
        <f t="shared" si="1"/>
        <v>30</v>
      </c>
      <c r="E17" s="17">
        <f t="shared" si="0"/>
        <v>270</v>
      </c>
    </row>
    <row r="18" spans="1:5" ht="14.25" customHeight="1" x14ac:dyDescent="0.25">
      <c r="A18" s="3" t="s">
        <v>4</v>
      </c>
      <c r="B18" s="4">
        <v>14</v>
      </c>
      <c r="C18" s="6">
        <v>1135</v>
      </c>
      <c r="D18" s="7">
        <f t="shared" si="1"/>
        <v>20</v>
      </c>
      <c r="E18" s="17">
        <f t="shared" si="0"/>
        <v>290</v>
      </c>
    </row>
    <row r="19" spans="1:5" x14ac:dyDescent="0.25">
      <c r="B19" s="4">
        <v>15</v>
      </c>
      <c r="C19" s="6">
        <v>1137</v>
      </c>
      <c r="D19" s="7">
        <f t="shared" si="1"/>
        <v>20</v>
      </c>
      <c r="E19" s="17">
        <f t="shared" si="0"/>
        <v>310</v>
      </c>
    </row>
    <row r="20" spans="1:5" x14ac:dyDescent="0.25">
      <c r="A20" s="2">
        <v>0</v>
      </c>
      <c r="B20" s="4">
        <v>16</v>
      </c>
      <c r="C20" s="6">
        <v>1140</v>
      </c>
      <c r="D20" s="7">
        <f t="shared" si="1"/>
        <v>30</v>
      </c>
      <c r="E20" s="17">
        <f t="shared" si="0"/>
        <v>340</v>
      </c>
    </row>
    <row r="21" spans="1:5" x14ac:dyDescent="0.25">
      <c r="B21" s="4">
        <v>17</v>
      </c>
      <c r="C21" s="6">
        <v>1143</v>
      </c>
      <c r="D21" s="7">
        <f t="shared" si="1"/>
        <v>30</v>
      </c>
      <c r="E21" s="17">
        <f t="shared" si="0"/>
        <v>370</v>
      </c>
    </row>
    <row r="22" spans="1:5" x14ac:dyDescent="0.25">
      <c r="B22" s="4">
        <v>18</v>
      </c>
      <c r="C22" s="6">
        <v>1145</v>
      </c>
      <c r="D22" s="7">
        <f t="shared" si="1"/>
        <v>20</v>
      </c>
      <c r="E22" s="17">
        <f t="shared" si="0"/>
        <v>390</v>
      </c>
    </row>
    <row r="23" spans="1:5" x14ac:dyDescent="0.25">
      <c r="B23" s="4">
        <v>19</v>
      </c>
      <c r="C23" s="6">
        <v>1147</v>
      </c>
      <c r="D23" s="7">
        <f t="shared" si="1"/>
        <v>20</v>
      </c>
      <c r="E23" s="17">
        <f t="shared" si="0"/>
        <v>410</v>
      </c>
    </row>
    <row r="24" spans="1:5" x14ac:dyDescent="0.25">
      <c r="B24" s="4">
        <v>20</v>
      </c>
      <c r="C24" s="6">
        <v>1149</v>
      </c>
      <c r="D24" s="7">
        <f t="shared" si="1"/>
        <v>20</v>
      </c>
      <c r="E24" s="17">
        <f t="shared" si="0"/>
        <v>430</v>
      </c>
    </row>
    <row r="25" spans="1:5" x14ac:dyDescent="0.25">
      <c r="B25" s="4">
        <v>21</v>
      </c>
      <c r="C25" s="6">
        <v>1151</v>
      </c>
      <c r="D25" s="7">
        <f t="shared" si="1"/>
        <v>20</v>
      </c>
      <c r="E25" s="17">
        <f t="shared" si="0"/>
        <v>450</v>
      </c>
    </row>
    <row r="26" spans="1:5" x14ac:dyDescent="0.25">
      <c r="B26" s="4">
        <v>22</v>
      </c>
      <c r="C26" s="6">
        <v>1153</v>
      </c>
      <c r="D26" s="7">
        <f t="shared" si="1"/>
        <v>20</v>
      </c>
      <c r="E26" s="17">
        <f t="shared" si="0"/>
        <v>470</v>
      </c>
    </row>
    <row r="27" spans="1:5" x14ac:dyDescent="0.25">
      <c r="A27" s="2" t="s">
        <v>5</v>
      </c>
      <c r="B27" s="4">
        <v>23</v>
      </c>
      <c r="C27" s="6">
        <v>1153</v>
      </c>
      <c r="D27" s="7">
        <f t="shared" si="1"/>
        <v>0</v>
      </c>
      <c r="E27" s="17">
        <f t="shared" si="0"/>
        <v>470</v>
      </c>
    </row>
    <row r="28" spans="1:5" ht="12.75" customHeight="1" x14ac:dyDescent="0.25">
      <c r="B28" s="4">
        <v>24</v>
      </c>
      <c r="C28" s="6">
        <v>1153</v>
      </c>
      <c r="D28" s="7">
        <f t="shared" si="1"/>
        <v>0</v>
      </c>
      <c r="E28" s="17">
        <f t="shared" si="0"/>
        <v>470</v>
      </c>
    </row>
    <row r="29" spans="1:5" ht="15.6" x14ac:dyDescent="0.25">
      <c r="B29" s="12" t="s">
        <v>6</v>
      </c>
      <c r="C29" s="9">
        <f>MAX(C5:C28)</f>
        <v>1153</v>
      </c>
      <c r="D29" s="10">
        <f>MAX(D5:D28)</f>
        <v>40</v>
      </c>
      <c r="E29" s="10">
        <f>MAX(E5:E28)</f>
        <v>470</v>
      </c>
    </row>
    <row r="30" spans="1:5" ht="15.6" x14ac:dyDescent="0.25">
      <c r="B30" s="12" t="s">
        <v>7</v>
      </c>
      <c r="C30" s="9">
        <f>MIN(C5:C28)</f>
        <v>1106</v>
      </c>
      <c r="D30" s="10">
        <f>MIN(D5:D28)</f>
        <v>0</v>
      </c>
      <c r="E30" s="10">
        <f>MIN(E5:E28)</f>
        <v>0</v>
      </c>
    </row>
    <row r="31" spans="1:5" ht="15.6" x14ac:dyDescent="0.25">
      <c r="B31" s="13" t="s">
        <v>8</v>
      </c>
      <c r="C31" s="9">
        <f>AVERAGE(C5:C28)</f>
        <v>1129.75</v>
      </c>
      <c r="D31" s="10">
        <f>AVERAGE(D5:D28)</f>
        <v>19.583333333333332</v>
      </c>
      <c r="E31" s="10">
        <f>AVERAGE(E5:E28)</f>
        <v>237.5</v>
      </c>
    </row>
    <row r="32" spans="1:5" ht="15.75" customHeight="1" thickBot="1" x14ac:dyDescent="0.3">
      <c r="B32" s="14" t="s">
        <v>9</v>
      </c>
      <c r="C32" s="15">
        <f>SUM(C5:C28)</f>
        <v>27114</v>
      </c>
      <c r="D32" s="15">
        <f>SUM(D5:D28)</f>
        <v>470</v>
      </c>
      <c r="E32" s="15">
        <f>SUM(E5:E28)</f>
        <v>5700</v>
      </c>
    </row>
    <row r="33" spans="2:2" hidden="1" x14ac:dyDescent="0.25"/>
    <row r="34" spans="2:2" hidden="1" x14ac:dyDescent="0.25"/>
    <row r="35" spans="2:2" hidden="1" x14ac:dyDescent="0.25"/>
    <row r="36" spans="2:2" hidden="1" x14ac:dyDescent="0.25"/>
    <row r="37" spans="2:2" hidden="1" x14ac:dyDescent="0.25"/>
    <row r="38" spans="2:2" hidden="1" x14ac:dyDescent="0.25"/>
    <row r="41" spans="2:2" x14ac:dyDescent="0.25">
      <c r="B41" s="2" t="s">
        <v>10</v>
      </c>
    </row>
  </sheetData>
  <mergeCells count="2">
    <mergeCell ref="B1:E2"/>
    <mergeCell ref="C3:D3"/>
  </mergeCells>
  <pageMargins left="0.7" right="0.7" top="0.75" bottom="0.75" header="0.3" footer="0.3"/>
  <pageSetup orientation="portrait" r:id="rId1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B3B09-5FB0-4465-A896-B0B4B0F37FD9}">
  <sheetPr codeName="Hoja28">
    <tabColor rgb="FFFFFF00"/>
  </sheetPr>
  <dimension ref="A1:E41"/>
  <sheetViews>
    <sheetView zoomScale="120" zoomScaleNormal="120" workbookViewId="0">
      <selection activeCell="D5" sqref="D5"/>
    </sheetView>
  </sheetViews>
  <sheetFormatPr baseColWidth="10" defaultColWidth="11.44140625" defaultRowHeight="13.2" x14ac:dyDescent="0.25"/>
  <cols>
    <col min="1" max="1" width="1.6640625" style="2" customWidth="1"/>
    <col min="2" max="2" width="11.44140625" style="2" customWidth="1"/>
    <col min="3" max="3" width="11.6640625" style="2" customWidth="1"/>
    <col min="4" max="4" width="22" style="2" customWidth="1"/>
    <col min="5" max="5" width="28.5546875" style="2" customWidth="1"/>
    <col min="6" max="16384" width="11.44140625" style="2"/>
  </cols>
  <sheetData>
    <row r="1" spans="1:5" s="1" customFormat="1" ht="12.75" customHeight="1" x14ac:dyDescent="0.3">
      <c r="B1" s="31" t="s">
        <v>12</v>
      </c>
      <c r="C1" s="32"/>
      <c r="D1" s="32"/>
      <c r="E1" s="32"/>
    </row>
    <row r="2" spans="1:5" ht="25.5" customHeight="1" thickBot="1" x14ac:dyDescent="0.3">
      <c r="B2" s="33"/>
      <c r="C2" s="34"/>
      <c r="D2" s="34"/>
      <c r="E2" s="34"/>
    </row>
    <row r="3" spans="1:5" x14ac:dyDescent="0.25">
      <c r="B3" s="11" t="s">
        <v>0</v>
      </c>
      <c r="C3" s="26">
        <v>46159</v>
      </c>
      <c r="D3" s="26"/>
      <c r="E3" s="18"/>
    </row>
    <row r="4" spans="1:5" ht="18" customHeight="1" x14ac:dyDescent="0.25">
      <c r="A4" s="2">
        <v>0</v>
      </c>
      <c r="B4" s="23" t="s">
        <v>1</v>
      </c>
      <c r="C4" s="24" t="s">
        <v>2</v>
      </c>
      <c r="D4" s="24" t="s">
        <v>13</v>
      </c>
      <c r="E4" s="25" t="s">
        <v>11</v>
      </c>
    </row>
    <row r="5" spans="1:5" x14ac:dyDescent="0.25">
      <c r="B5" s="4">
        <v>1</v>
      </c>
      <c r="C5" s="6">
        <v>1153</v>
      </c>
      <c r="D5" s="7">
        <v>0</v>
      </c>
      <c r="E5" s="17">
        <f>+D5</f>
        <v>0</v>
      </c>
    </row>
    <row r="6" spans="1:5" ht="11.25" customHeight="1" x14ac:dyDescent="0.25">
      <c r="B6" s="4">
        <v>2</v>
      </c>
      <c r="C6" s="6">
        <v>1153</v>
      </c>
      <c r="D6" s="7">
        <f>SUM(C6-C5)*10</f>
        <v>0</v>
      </c>
      <c r="E6" s="17">
        <f t="shared" ref="E6:E28" si="0">+D6+E5</f>
        <v>0</v>
      </c>
    </row>
    <row r="7" spans="1:5" ht="11.25" customHeight="1" x14ac:dyDescent="0.25">
      <c r="B7" s="4">
        <v>3</v>
      </c>
      <c r="C7" s="6">
        <v>1153</v>
      </c>
      <c r="D7" s="7">
        <f t="shared" ref="D7:D28" si="1">SUM(C7-C6)*10</f>
        <v>0</v>
      </c>
      <c r="E7" s="17">
        <f t="shared" si="0"/>
        <v>0</v>
      </c>
    </row>
    <row r="8" spans="1:5" ht="12" customHeight="1" x14ac:dyDescent="0.25">
      <c r="B8" s="4">
        <v>4</v>
      </c>
      <c r="C8" s="6">
        <v>1153</v>
      </c>
      <c r="D8" s="7">
        <f>SUM(C8-C7)*10</f>
        <v>0</v>
      </c>
      <c r="E8" s="17">
        <f>+D8+E7</f>
        <v>0</v>
      </c>
    </row>
    <row r="9" spans="1:5" x14ac:dyDescent="0.25">
      <c r="A9" s="2">
        <v>0</v>
      </c>
      <c r="B9" s="4">
        <v>5</v>
      </c>
      <c r="C9" s="6">
        <v>1155</v>
      </c>
      <c r="D9" s="7">
        <f t="shared" si="1"/>
        <v>20</v>
      </c>
      <c r="E9" s="17">
        <f t="shared" si="0"/>
        <v>20</v>
      </c>
    </row>
    <row r="10" spans="1:5" ht="15" customHeight="1" x14ac:dyDescent="0.25">
      <c r="A10" s="2" t="s">
        <v>3</v>
      </c>
      <c r="B10" s="4">
        <v>6</v>
      </c>
      <c r="C10" s="6">
        <v>1157</v>
      </c>
      <c r="D10" s="7">
        <f t="shared" si="1"/>
        <v>20</v>
      </c>
      <c r="E10" s="17">
        <f t="shared" si="0"/>
        <v>40</v>
      </c>
    </row>
    <row r="11" spans="1:5" ht="12" customHeight="1" x14ac:dyDescent="0.25">
      <c r="B11" s="4">
        <v>7</v>
      </c>
      <c r="C11" s="6">
        <v>1159</v>
      </c>
      <c r="D11" s="7">
        <f t="shared" si="1"/>
        <v>20</v>
      </c>
      <c r="E11" s="17">
        <f t="shared" si="0"/>
        <v>60</v>
      </c>
    </row>
    <row r="12" spans="1:5" ht="15.75" customHeight="1" x14ac:dyDescent="0.25">
      <c r="A12" s="2">
        <v>0</v>
      </c>
      <c r="B12" s="4">
        <v>8</v>
      </c>
      <c r="C12" s="6">
        <v>1161</v>
      </c>
      <c r="D12" s="7">
        <f t="shared" si="1"/>
        <v>20</v>
      </c>
      <c r="E12" s="17">
        <f t="shared" si="0"/>
        <v>80</v>
      </c>
    </row>
    <row r="13" spans="1:5" ht="12" customHeight="1" x14ac:dyDescent="0.25">
      <c r="B13" s="4">
        <v>9</v>
      </c>
      <c r="C13" s="6">
        <v>1164</v>
      </c>
      <c r="D13" s="7">
        <f t="shared" si="1"/>
        <v>30</v>
      </c>
      <c r="E13" s="17">
        <f t="shared" si="0"/>
        <v>110</v>
      </c>
    </row>
    <row r="14" spans="1:5" ht="14.25" customHeight="1" x14ac:dyDescent="0.25">
      <c r="B14" s="4">
        <v>10</v>
      </c>
      <c r="C14" s="6">
        <v>1167</v>
      </c>
      <c r="D14" s="7">
        <f t="shared" si="1"/>
        <v>30</v>
      </c>
      <c r="E14" s="17">
        <f t="shared" si="0"/>
        <v>140</v>
      </c>
    </row>
    <row r="15" spans="1:5" x14ac:dyDescent="0.25">
      <c r="B15" s="4">
        <v>11</v>
      </c>
      <c r="C15" s="6">
        <v>1171</v>
      </c>
      <c r="D15" s="7">
        <f t="shared" si="1"/>
        <v>40</v>
      </c>
      <c r="E15" s="17">
        <f t="shared" si="0"/>
        <v>180</v>
      </c>
    </row>
    <row r="16" spans="1:5" x14ac:dyDescent="0.25">
      <c r="A16" s="2">
        <v>0</v>
      </c>
      <c r="B16" s="4">
        <v>12</v>
      </c>
      <c r="C16" s="6">
        <v>1175</v>
      </c>
      <c r="D16" s="7">
        <f t="shared" si="1"/>
        <v>40</v>
      </c>
      <c r="E16" s="17">
        <f t="shared" si="0"/>
        <v>220</v>
      </c>
    </row>
    <row r="17" spans="1:5" x14ac:dyDescent="0.25">
      <c r="B17" s="4">
        <v>13</v>
      </c>
      <c r="C17" s="6">
        <v>1179</v>
      </c>
      <c r="D17" s="7">
        <f t="shared" si="1"/>
        <v>40</v>
      </c>
      <c r="E17" s="17">
        <f t="shared" si="0"/>
        <v>260</v>
      </c>
    </row>
    <row r="18" spans="1:5" ht="14.25" customHeight="1" x14ac:dyDescent="0.25">
      <c r="A18" s="3" t="s">
        <v>4</v>
      </c>
      <c r="B18" s="4">
        <v>14</v>
      </c>
      <c r="C18" s="6">
        <v>1183</v>
      </c>
      <c r="D18" s="7">
        <f t="shared" si="1"/>
        <v>40</v>
      </c>
      <c r="E18" s="17">
        <f t="shared" si="0"/>
        <v>300</v>
      </c>
    </row>
    <row r="19" spans="1:5" x14ac:dyDescent="0.25">
      <c r="B19" s="4">
        <v>15</v>
      </c>
      <c r="C19" s="6">
        <v>1187</v>
      </c>
      <c r="D19" s="7">
        <f t="shared" si="1"/>
        <v>40</v>
      </c>
      <c r="E19" s="17">
        <f t="shared" si="0"/>
        <v>340</v>
      </c>
    </row>
    <row r="20" spans="1:5" x14ac:dyDescent="0.25">
      <c r="A20" s="2">
        <v>0</v>
      </c>
      <c r="B20" s="4">
        <v>16</v>
      </c>
      <c r="C20" s="6">
        <v>1190</v>
      </c>
      <c r="D20" s="7">
        <f t="shared" si="1"/>
        <v>30</v>
      </c>
      <c r="E20" s="17">
        <f t="shared" si="0"/>
        <v>370</v>
      </c>
    </row>
    <row r="21" spans="1:5" x14ac:dyDescent="0.25">
      <c r="B21" s="4">
        <v>17</v>
      </c>
      <c r="C21" s="6">
        <v>1192</v>
      </c>
      <c r="D21" s="7">
        <f t="shared" si="1"/>
        <v>20</v>
      </c>
      <c r="E21" s="17">
        <f t="shared" si="0"/>
        <v>390</v>
      </c>
    </row>
    <row r="22" spans="1:5" x14ac:dyDescent="0.25">
      <c r="B22" s="4">
        <v>18</v>
      </c>
      <c r="C22" s="6">
        <v>1194</v>
      </c>
      <c r="D22" s="7">
        <f t="shared" si="1"/>
        <v>20</v>
      </c>
      <c r="E22" s="17">
        <f t="shared" si="0"/>
        <v>410</v>
      </c>
    </row>
    <row r="23" spans="1:5" x14ac:dyDescent="0.25">
      <c r="B23" s="4">
        <v>19</v>
      </c>
      <c r="C23" s="6">
        <v>1196</v>
      </c>
      <c r="D23" s="7">
        <f t="shared" si="1"/>
        <v>20</v>
      </c>
      <c r="E23" s="17">
        <f t="shared" si="0"/>
        <v>430</v>
      </c>
    </row>
    <row r="24" spans="1:5" x14ac:dyDescent="0.25">
      <c r="B24" s="4">
        <v>20</v>
      </c>
      <c r="C24" s="6">
        <v>1199</v>
      </c>
      <c r="D24" s="7">
        <f t="shared" si="1"/>
        <v>30</v>
      </c>
      <c r="E24" s="17">
        <f t="shared" si="0"/>
        <v>460</v>
      </c>
    </row>
    <row r="25" spans="1:5" x14ac:dyDescent="0.25">
      <c r="B25" s="4">
        <v>21</v>
      </c>
      <c r="C25" s="6">
        <v>1202</v>
      </c>
      <c r="D25" s="7">
        <f t="shared" si="1"/>
        <v>30</v>
      </c>
      <c r="E25" s="17">
        <f t="shared" si="0"/>
        <v>490</v>
      </c>
    </row>
    <row r="26" spans="1:5" x14ac:dyDescent="0.25">
      <c r="B26" s="4">
        <v>22</v>
      </c>
      <c r="C26" s="6">
        <v>1205</v>
      </c>
      <c r="D26" s="7">
        <f t="shared" si="1"/>
        <v>30</v>
      </c>
      <c r="E26" s="17">
        <f t="shared" si="0"/>
        <v>520</v>
      </c>
    </row>
    <row r="27" spans="1:5" x14ac:dyDescent="0.25">
      <c r="A27" s="2" t="s">
        <v>5</v>
      </c>
      <c r="B27" s="4">
        <v>23</v>
      </c>
      <c r="C27" s="6">
        <v>1205</v>
      </c>
      <c r="D27" s="7">
        <f t="shared" si="1"/>
        <v>0</v>
      </c>
      <c r="E27" s="17">
        <f t="shared" si="0"/>
        <v>520</v>
      </c>
    </row>
    <row r="28" spans="1:5" ht="12.75" customHeight="1" x14ac:dyDescent="0.25">
      <c r="B28" s="4">
        <v>24</v>
      </c>
      <c r="C28" s="6">
        <v>1205</v>
      </c>
      <c r="D28" s="7">
        <f t="shared" si="1"/>
        <v>0</v>
      </c>
      <c r="E28" s="17">
        <f t="shared" si="0"/>
        <v>520</v>
      </c>
    </row>
    <row r="29" spans="1:5" ht="15.6" x14ac:dyDescent="0.25">
      <c r="B29" s="12" t="s">
        <v>6</v>
      </c>
      <c r="C29" s="9">
        <f>MAX(C5:C28)</f>
        <v>1205</v>
      </c>
      <c r="D29" s="10">
        <f>MAX(D5:D28)</f>
        <v>40</v>
      </c>
      <c r="E29" s="10">
        <f>MAX(E5:E28)</f>
        <v>520</v>
      </c>
    </row>
    <row r="30" spans="1:5" ht="15.6" x14ac:dyDescent="0.25">
      <c r="B30" s="12" t="s">
        <v>7</v>
      </c>
      <c r="C30" s="9">
        <f>MIN(C5:C28)</f>
        <v>1153</v>
      </c>
      <c r="D30" s="10">
        <f>MIN(D5:D28)</f>
        <v>0</v>
      </c>
      <c r="E30" s="10">
        <f>MIN(E5:E28)</f>
        <v>0</v>
      </c>
    </row>
    <row r="31" spans="1:5" ht="15.6" x14ac:dyDescent="0.25">
      <c r="B31" s="13" t="s">
        <v>8</v>
      </c>
      <c r="C31" s="9">
        <f>AVERAGE(C5:C28)</f>
        <v>1177.4166666666667</v>
      </c>
      <c r="D31" s="10">
        <f>AVERAGE(D5:D28)</f>
        <v>21.666666666666668</v>
      </c>
      <c r="E31" s="10">
        <f>AVERAGE(E5:E28)</f>
        <v>244.16666666666666</v>
      </c>
    </row>
    <row r="32" spans="1:5" ht="15.75" customHeight="1" thickBot="1" x14ac:dyDescent="0.3">
      <c r="B32" s="14" t="s">
        <v>9</v>
      </c>
      <c r="C32" s="15">
        <f>SUM(C5:C28)</f>
        <v>28258</v>
      </c>
      <c r="D32" s="15">
        <f>SUM(D5:D28)</f>
        <v>520</v>
      </c>
      <c r="E32" s="15">
        <f>SUM(E5:E28)</f>
        <v>5860</v>
      </c>
    </row>
    <row r="33" spans="2:2" hidden="1" x14ac:dyDescent="0.25"/>
    <row r="34" spans="2:2" hidden="1" x14ac:dyDescent="0.25"/>
    <row r="35" spans="2:2" hidden="1" x14ac:dyDescent="0.25"/>
    <row r="36" spans="2:2" hidden="1" x14ac:dyDescent="0.25"/>
    <row r="37" spans="2:2" hidden="1" x14ac:dyDescent="0.25"/>
    <row r="38" spans="2:2" hidden="1" x14ac:dyDescent="0.25"/>
    <row r="41" spans="2:2" x14ac:dyDescent="0.25">
      <c r="B41" s="2" t="s">
        <v>10</v>
      </c>
    </row>
  </sheetData>
  <mergeCells count="2">
    <mergeCell ref="B1:E2"/>
    <mergeCell ref="C3:D3"/>
  </mergeCells>
  <pageMargins left="0.7" right="0.7" top="0.75" bottom="0.75" header="0.3" footer="0.3"/>
  <pageSetup orientation="portrait" r:id="rId1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F01C8-A4D7-4DEB-B884-5CF7DFA8E2D1}">
  <sheetPr codeName="Hoja29">
    <tabColor rgb="FFFFFF00"/>
  </sheetPr>
  <dimension ref="A1:E41"/>
  <sheetViews>
    <sheetView zoomScale="120" zoomScaleNormal="120" workbookViewId="0">
      <selection activeCell="D5" sqref="D5"/>
    </sheetView>
  </sheetViews>
  <sheetFormatPr baseColWidth="10" defaultColWidth="11.44140625" defaultRowHeight="13.2" x14ac:dyDescent="0.25"/>
  <cols>
    <col min="1" max="1" width="1.6640625" style="2" customWidth="1"/>
    <col min="2" max="2" width="11.44140625" style="2" customWidth="1"/>
    <col min="3" max="3" width="11.6640625" style="2" customWidth="1"/>
    <col min="4" max="4" width="22" style="2" customWidth="1"/>
    <col min="5" max="5" width="28.5546875" style="2" customWidth="1"/>
    <col min="6" max="16384" width="11.44140625" style="2"/>
  </cols>
  <sheetData>
    <row r="1" spans="1:5" s="1" customFormat="1" ht="12.75" customHeight="1" x14ac:dyDescent="0.3">
      <c r="B1" s="31" t="s">
        <v>12</v>
      </c>
      <c r="C1" s="32"/>
      <c r="D1" s="32"/>
      <c r="E1" s="32"/>
    </row>
    <row r="2" spans="1:5" ht="25.5" customHeight="1" thickBot="1" x14ac:dyDescent="0.3">
      <c r="B2" s="33"/>
      <c r="C2" s="34"/>
      <c r="D2" s="34"/>
      <c r="E2" s="34"/>
    </row>
    <row r="3" spans="1:5" x14ac:dyDescent="0.25">
      <c r="B3" s="11" t="s">
        <v>0</v>
      </c>
      <c r="C3" s="26">
        <v>46159</v>
      </c>
      <c r="D3" s="26"/>
      <c r="E3" s="18"/>
    </row>
    <row r="4" spans="1:5" ht="18" customHeight="1" x14ac:dyDescent="0.25">
      <c r="A4" s="2">
        <v>0</v>
      </c>
      <c r="B4" s="23" t="s">
        <v>1</v>
      </c>
      <c r="C4" s="24" t="s">
        <v>2</v>
      </c>
      <c r="D4" s="24" t="s">
        <v>13</v>
      </c>
      <c r="E4" s="25" t="s">
        <v>11</v>
      </c>
    </row>
    <row r="5" spans="1:5" x14ac:dyDescent="0.25">
      <c r="B5" s="4">
        <v>1</v>
      </c>
      <c r="C5" s="6">
        <v>1205</v>
      </c>
      <c r="D5" s="7">
        <v>0</v>
      </c>
      <c r="E5" s="17">
        <f>+D5</f>
        <v>0</v>
      </c>
    </row>
    <row r="6" spans="1:5" ht="11.25" customHeight="1" x14ac:dyDescent="0.25">
      <c r="B6" s="4">
        <v>2</v>
      </c>
      <c r="C6" s="6">
        <v>1205</v>
      </c>
      <c r="D6" s="7">
        <f>SUM(C6-C5)*10</f>
        <v>0</v>
      </c>
      <c r="E6" s="17">
        <f t="shared" ref="E6:E28" si="0">+D6+E5</f>
        <v>0</v>
      </c>
    </row>
    <row r="7" spans="1:5" ht="11.25" customHeight="1" x14ac:dyDescent="0.25">
      <c r="B7" s="4">
        <v>3</v>
      </c>
      <c r="C7" s="6">
        <v>1205</v>
      </c>
      <c r="D7" s="7">
        <f t="shared" ref="D7:D28" si="1">SUM(C7-C6)*10</f>
        <v>0</v>
      </c>
      <c r="E7" s="17">
        <f t="shared" si="0"/>
        <v>0</v>
      </c>
    </row>
    <row r="8" spans="1:5" ht="12" customHeight="1" x14ac:dyDescent="0.25">
      <c r="B8" s="4">
        <v>4</v>
      </c>
      <c r="C8" s="6">
        <v>1205</v>
      </c>
      <c r="D8" s="7">
        <f>SUM(C8-C7)*10</f>
        <v>0</v>
      </c>
      <c r="E8" s="17">
        <f>+D8+E7</f>
        <v>0</v>
      </c>
    </row>
    <row r="9" spans="1:5" x14ac:dyDescent="0.25">
      <c r="A9" s="2">
        <v>0</v>
      </c>
      <c r="B9" s="4">
        <v>5</v>
      </c>
      <c r="C9" s="6">
        <v>1207</v>
      </c>
      <c r="D9" s="7">
        <f t="shared" si="1"/>
        <v>20</v>
      </c>
      <c r="E9" s="17">
        <f t="shared" si="0"/>
        <v>20</v>
      </c>
    </row>
    <row r="10" spans="1:5" ht="15" customHeight="1" x14ac:dyDescent="0.25">
      <c r="A10" s="2" t="s">
        <v>3</v>
      </c>
      <c r="B10" s="4">
        <v>6</v>
      </c>
      <c r="C10" s="6">
        <v>1209</v>
      </c>
      <c r="D10" s="7">
        <f t="shared" si="1"/>
        <v>20</v>
      </c>
      <c r="E10" s="17">
        <f t="shared" si="0"/>
        <v>40</v>
      </c>
    </row>
    <row r="11" spans="1:5" ht="12" customHeight="1" x14ac:dyDescent="0.25">
      <c r="B11" s="4">
        <v>7</v>
      </c>
      <c r="C11" s="6">
        <v>1211</v>
      </c>
      <c r="D11" s="7">
        <f t="shared" si="1"/>
        <v>20</v>
      </c>
      <c r="E11" s="17">
        <f t="shared" si="0"/>
        <v>60</v>
      </c>
    </row>
    <row r="12" spans="1:5" ht="15.75" customHeight="1" x14ac:dyDescent="0.25">
      <c r="A12" s="2">
        <v>0</v>
      </c>
      <c r="B12" s="4">
        <v>8</v>
      </c>
      <c r="C12" s="6">
        <v>1213</v>
      </c>
      <c r="D12" s="7">
        <f t="shared" si="1"/>
        <v>20</v>
      </c>
      <c r="E12" s="17">
        <f t="shared" si="0"/>
        <v>80</v>
      </c>
    </row>
    <row r="13" spans="1:5" ht="12" customHeight="1" x14ac:dyDescent="0.25">
      <c r="B13" s="4">
        <v>9</v>
      </c>
      <c r="C13" s="6">
        <v>1215</v>
      </c>
      <c r="D13" s="7">
        <f t="shared" si="1"/>
        <v>20</v>
      </c>
      <c r="E13" s="17">
        <f t="shared" si="0"/>
        <v>100</v>
      </c>
    </row>
    <row r="14" spans="1:5" ht="14.25" customHeight="1" x14ac:dyDescent="0.25">
      <c r="B14" s="4">
        <v>10</v>
      </c>
      <c r="C14" s="6">
        <v>1217</v>
      </c>
      <c r="D14" s="7">
        <f t="shared" si="1"/>
        <v>20</v>
      </c>
      <c r="E14" s="17">
        <f t="shared" si="0"/>
        <v>120</v>
      </c>
    </row>
    <row r="15" spans="1:5" x14ac:dyDescent="0.25">
      <c r="B15" s="4">
        <v>11</v>
      </c>
      <c r="C15" s="6">
        <v>1220</v>
      </c>
      <c r="D15" s="7">
        <f t="shared" si="1"/>
        <v>30</v>
      </c>
      <c r="E15" s="17">
        <f t="shared" si="0"/>
        <v>150</v>
      </c>
    </row>
    <row r="16" spans="1:5" x14ac:dyDescent="0.25">
      <c r="A16" s="2">
        <v>0</v>
      </c>
      <c r="B16" s="4">
        <v>12</v>
      </c>
      <c r="C16" s="6">
        <v>1223</v>
      </c>
      <c r="D16" s="7">
        <f t="shared" si="1"/>
        <v>30</v>
      </c>
      <c r="E16" s="17">
        <f t="shared" si="0"/>
        <v>180</v>
      </c>
    </row>
    <row r="17" spans="1:5" x14ac:dyDescent="0.25">
      <c r="B17" s="4">
        <v>13</v>
      </c>
      <c r="C17" s="6">
        <v>1226</v>
      </c>
      <c r="D17" s="7">
        <f t="shared" si="1"/>
        <v>30</v>
      </c>
      <c r="E17" s="17">
        <f t="shared" si="0"/>
        <v>210</v>
      </c>
    </row>
    <row r="18" spans="1:5" ht="14.25" customHeight="1" x14ac:dyDescent="0.25">
      <c r="A18" s="3" t="s">
        <v>4</v>
      </c>
      <c r="B18" s="4">
        <v>14</v>
      </c>
      <c r="C18" s="6">
        <v>1229</v>
      </c>
      <c r="D18" s="7">
        <f t="shared" si="1"/>
        <v>30</v>
      </c>
      <c r="E18" s="17">
        <f t="shared" si="0"/>
        <v>240</v>
      </c>
    </row>
    <row r="19" spans="1:5" x14ac:dyDescent="0.25">
      <c r="B19" s="4">
        <v>15</v>
      </c>
      <c r="C19" s="6">
        <v>1231</v>
      </c>
      <c r="D19" s="7">
        <f t="shared" si="1"/>
        <v>20</v>
      </c>
      <c r="E19" s="17">
        <f t="shared" si="0"/>
        <v>260</v>
      </c>
    </row>
    <row r="20" spans="1:5" x14ac:dyDescent="0.25">
      <c r="A20" s="2">
        <v>0</v>
      </c>
      <c r="B20" s="4">
        <v>16</v>
      </c>
      <c r="C20" s="6">
        <v>1233</v>
      </c>
      <c r="D20" s="7">
        <f t="shared" si="1"/>
        <v>20</v>
      </c>
      <c r="E20" s="17">
        <f t="shared" si="0"/>
        <v>280</v>
      </c>
    </row>
    <row r="21" spans="1:5" x14ac:dyDescent="0.25">
      <c r="B21" s="4">
        <v>17</v>
      </c>
      <c r="C21" s="6">
        <v>1235</v>
      </c>
      <c r="D21" s="7">
        <f t="shared" si="1"/>
        <v>20</v>
      </c>
      <c r="E21" s="17">
        <f t="shared" si="0"/>
        <v>300</v>
      </c>
    </row>
    <row r="22" spans="1:5" x14ac:dyDescent="0.25">
      <c r="B22" s="4">
        <v>18</v>
      </c>
      <c r="C22" s="6">
        <v>1237</v>
      </c>
      <c r="D22" s="7">
        <f t="shared" si="1"/>
        <v>20</v>
      </c>
      <c r="E22" s="17">
        <f t="shared" si="0"/>
        <v>320</v>
      </c>
    </row>
    <row r="23" spans="1:5" x14ac:dyDescent="0.25">
      <c r="B23" s="4">
        <v>19</v>
      </c>
      <c r="C23" s="6">
        <v>1239</v>
      </c>
      <c r="D23" s="7">
        <f t="shared" si="1"/>
        <v>20</v>
      </c>
      <c r="E23" s="17">
        <f t="shared" si="0"/>
        <v>340</v>
      </c>
    </row>
    <row r="24" spans="1:5" x14ac:dyDescent="0.25">
      <c r="B24" s="4">
        <v>20</v>
      </c>
      <c r="C24" s="6">
        <v>1241</v>
      </c>
      <c r="D24" s="7">
        <f t="shared" si="1"/>
        <v>20</v>
      </c>
      <c r="E24" s="17">
        <f t="shared" si="0"/>
        <v>360</v>
      </c>
    </row>
    <row r="25" spans="1:5" x14ac:dyDescent="0.25">
      <c r="B25" s="4">
        <v>21</v>
      </c>
      <c r="C25" s="6">
        <v>1243</v>
      </c>
      <c r="D25" s="7">
        <f t="shared" si="1"/>
        <v>20</v>
      </c>
      <c r="E25" s="17">
        <f t="shared" si="0"/>
        <v>380</v>
      </c>
    </row>
    <row r="26" spans="1:5" x14ac:dyDescent="0.25">
      <c r="B26" s="4">
        <v>22</v>
      </c>
      <c r="C26" s="6">
        <v>1245</v>
      </c>
      <c r="D26" s="7">
        <f t="shared" si="1"/>
        <v>20</v>
      </c>
      <c r="E26" s="17">
        <f t="shared" si="0"/>
        <v>400</v>
      </c>
    </row>
    <row r="27" spans="1:5" x14ac:dyDescent="0.25">
      <c r="A27" s="2" t="s">
        <v>5</v>
      </c>
      <c r="B27" s="4">
        <v>23</v>
      </c>
      <c r="C27" s="6">
        <v>1245</v>
      </c>
      <c r="D27" s="7">
        <f t="shared" si="1"/>
        <v>0</v>
      </c>
      <c r="E27" s="17">
        <f t="shared" si="0"/>
        <v>400</v>
      </c>
    </row>
    <row r="28" spans="1:5" ht="12.75" customHeight="1" x14ac:dyDescent="0.25">
      <c r="B28" s="4">
        <v>24</v>
      </c>
      <c r="C28" s="6">
        <v>1245</v>
      </c>
      <c r="D28" s="7">
        <f t="shared" si="1"/>
        <v>0</v>
      </c>
      <c r="E28" s="17">
        <f t="shared" si="0"/>
        <v>400</v>
      </c>
    </row>
    <row r="29" spans="1:5" ht="15.6" x14ac:dyDescent="0.25">
      <c r="B29" s="12" t="s">
        <v>6</v>
      </c>
      <c r="C29" s="9">
        <f>MAX(C5:C28)</f>
        <v>1245</v>
      </c>
      <c r="D29" s="10">
        <f>MAX(D5:D28)</f>
        <v>30</v>
      </c>
      <c r="E29" s="10">
        <f>MAX(E5:E28)</f>
        <v>400</v>
      </c>
    </row>
    <row r="30" spans="1:5" ht="15.6" x14ac:dyDescent="0.25">
      <c r="B30" s="12" t="s">
        <v>7</v>
      </c>
      <c r="C30" s="9">
        <f>MIN(C5:C28)</f>
        <v>1205</v>
      </c>
      <c r="D30" s="10">
        <f>MIN(D5:D28)</f>
        <v>0</v>
      </c>
      <c r="E30" s="10">
        <f>MIN(E5:E28)</f>
        <v>0</v>
      </c>
    </row>
    <row r="31" spans="1:5" ht="15.6" x14ac:dyDescent="0.25">
      <c r="B31" s="13" t="s">
        <v>8</v>
      </c>
      <c r="C31" s="9">
        <f>AVERAGE(C5:C28)</f>
        <v>1224.3333333333333</v>
      </c>
      <c r="D31" s="10">
        <f>AVERAGE(D5:D28)</f>
        <v>16.666666666666668</v>
      </c>
      <c r="E31" s="10">
        <f>AVERAGE(E5:E28)</f>
        <v>193.33333333333334</v>
      </c>
    </row>
    <row r="32" spans="1:5" ht="15.75" customHeight="1" thickBot="1" x14ac:dyDescent="0.3">
      <c r="B32" s="14" t="s">
        <v>9</v>
      </c>
      <c r="C32" s="15">
        <f>SUM(C5:C28)</f>
        <v>29384</v>
      </c>
      <c r="D32" s="15">
        <f>SUM(D5:D28)</f>
        <v>400</v>
      </c>
      <c r="E32" s="15">
        <f>SUM(E5:E28)</f>
        <v>4640</v>
      </c>
    </row>
    <row r="33" spans="2:2" hidden="1" x14ac:dyDescent="0.25"/>
    <row r="34" spans="2:2" hidden="1" x14ac:dyDescent="0.25"/>
    <row r="35" spans="2:2" hidden="1" x14ac:dyDescent="0.25"/>
    <row r="36" spans="2:2" hidden="1" x14ac:dyDescent="0.25"/>
    <row r="37" spans="2:2" hidden="1" x14ac:dyDescent="0.25"/>
    <row r="38" spans="2:2" hidden="1" x14ac:dyDescent="0.25"/>
    <row r="41" spans="2:2" x14ac:dyDescent="0.25">
      <c r="B41" s="2" t="s">
        <v>10</v>
      </c>
    </row>
  </sheetData>
  <mergeCells count="2">
    <mergeCell ref="B1:E2"/>
    <mergeCell ref="C3:D3"/>
  </mergeCells>
  <pageMargins left="0.7" right="0.7" top="0.75" bottom="0.75" header="0.3" footer="0.3"/>
  <pageSetup orientation="portrait" r:id="rId1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97DBF-9862-4939-9D56-F6043031EB3D}">
  <sheetPr codeName="Hoja30">
    <tabColor rgb="FFFFFF00"/>
  </sheetPr>
  <dimension ref="A1:E41"/>
  <sheetViews>
    <sheetView zoomScale="120" zoomScaleNormal="120" workbookViewId="0">
      <selection activeCell="D5" sqref="D5"/>
    </sheetView>
  </sheetViews>
  <sheetFormatPr baseColWidth="10" defaultColWidth="11.44140625" defaultRowHeight="13.2" x14ac:dyDescent="0.25"/>
  <cols>
    <col min="1" max="1" width="1.6640625" style="2" customWidth="1"/>
    <col min="2" max="2" width="11.44140625" style="2" customWidth="1"/>
    <col min="3" max="3" width="11.6640625" style="2" customWidth="1"/>
    <col min="4" max="4" width="22" style="2" customWidth="1"/>
    <col min="5" max="5" width="28.5546875" style="2" customWidth="1"/>
    <col min="6" max="16384" width="11.44140625" style="2"/>
  </cols>
  <sheetData>
    <row r="1" spans="1:5" s="1" customFormat="1" ht="12.75" customHeight="1" x14ac:dyDescent="0.3">
      <c r="B1" s="31" t="s">
        <v>12</v>
      </c>
      <c r="C1" s="32"/>
      <c r="D1" s="32"/>
      <c r="E1" s="32"/>
    </row>
    <row r="2" spans="1:5" ht="25.5" customHeight="1" thickBot="1" x14ac:dyDescent="0.3">
      <c r="B2" s="33"/>
      <c r="C2" s="34"/>
      <c r="D2" s="34"/>
      <c r="E2" s="34"/>
    </row>
    <row r="3" spans="1:5" x14ac:dyDescent="0.25">
      <c r="B3" s="11" t="s">
        <v>0</v>
      </c>
      <c r="C3" s="26">
        <v>46159</v>
      </c>
      <c r="D3" s="26"/>
      <c r="E3" s="18"/>
    </row>
    <row r="4" spans="1:5" ht="18" customHeight="1" x14ac:dyDescent="0.25">
      <c r="A4" s="2">
        <v>0</v>
      </c>
      <c r="B4" s="23" t="s">
        <v>1</v>
      </c>
      <c r="C4" s="24" t="s">
        <v>2</v>
      </c>
      <c r="D4" s="24" t="s">
        <v>13</v>
      </c>
      <c r="E4" s="25" t="s">
        <v>11</v>
      </c>
    </row>
    <row r="5" spans="1:5" x14ac:dyDescent="0.25">
      <c r="B5" s="4">
        <v>1</v>
      </c>
      <c r="C5" s="6">
        <v>1245</v>
      </c>
      <c r="D5" s="7">
        <v>0</v>
      </c>
      <c r="E5" s="17">
        <f>+D5</f>
        <v>0</v>
      </c>
    </row>
    <row r="6" spans="1:5" ht="11.25" customHeight="1" x14ac:dyDescent="0.25">
      <c r="B6" s="4">
        <v>2</v>
      </c>
      <c r="C6" s="6">
        <v>1245</v>
      </c>
      <c r="D6" s="7">
        <f>SUM(C6-C5)*10</f>
        <v>0</v>
      </c>
      <c r="E6" s="17">
        <f t="shared" ref="E6:E28" si="0">+D6+E5</f>
        <v>0</v>
      </c>
    </row>
    <row r="7" spans="1:5" ht="11.25" customHeight="1" x14ac:dyDescent="0.25">
      <c r="B7" s="4">
        <v>3</v>
      </c>
      <c r="C7" s="6">
        <v>1245</v>
      </c>
      <c r="D7" s="7">
        <f t="shared" ref="D7:D28" si="1">SUM(C7-C6)*10</f>
        <v>0</v>
      </c>
      <c r="E7" s="17">
        <f t="shared" si="0"/>
        <v>0</v>
      </c>
    </row>
    <row r="8" spans="1:5" ht="12" customHeight="1" x14ac:dyDescent="0.25">
      <c r="B8" s="4">
        <v>4</v>
      </c>
      <c r="C8" s="6">
        <v>1245</v>
      </c>
      <c r="D8" s="7">
        <f>SUM(C8-C7)*10</f>
        <v>0</v>
      </c>
      <c r="E8" s="17">
        <f>+D8+E7</f>
        <v>0</v>
      </c>
    </row>
    <row r="9" spans="1:5" x14ac:dyDescent="0.25">
      <c r="A9" s="2">
        <v>0</v>
      </c>
      <c r="B9" s="4">
        <v>5</v>
      </c>
      <c r="C9" s="6">
        <v>1247</v>
      </c>
      <c r="D9" s="7">
        <f t="shared" si="1"/>
        <v>20</v>
      </c>
      <c r="E9" s="17">
        <f t="shared" si="0"/>
        <v>20</v>
      </c>
    </row>
    <row r="10" spans="1:5" ht="15" customHeight="1" x14ac:dyDescent="0.25">
      <c r="A10" s="2" t="s">
        <v>3</v>
      </c>
      <c r="B10" s="4">
        <v>6</v>
      </c>
      <c r="C10" s="6">
        <v>1249</v>
      </c>
      <c r="D10" s="7">
        <f t="shared" si="1"/>
        <v>20</v>
      </c>
      <c r="E10" s="17">
        <f t="shared" si="0"/>
        <v>40</v>
      </c>
    </row>
    <row r="11" spans="1:5" ht="12" customHeight="1" x14ac:dyDescent="0.25">
      <c r="B11" s="4">
        <v>7</v>
      </c>
      <c r="C11" s="6">
        <v>1251</v>
      </c>
      <c r="D11" s="7">
        <f t="shared" si="1"/>
        <v>20</v>
      </c>
      <c r="E11" s="17">
        <f t="shared" si="0"/>
        <v>60</v>
      </c>
    </row>
    <row r="12" spans="1:5" ht="15.75" customHeight="1" x14ac:dyDescent="0.25">
      <c r="A12" s="2">
        <v>0</v>
      </c>
      <c r="B12" s="4">
        <v>8</v>
      </c>
      <c r="C12" s="6">
        <v>1253</v>
      </c>
      <c r="D12" s="7">
        <f t="shared" si="1"/>
        <v>20</v>
      </c>
      <c r="E12" s="17">
        <f t="shared" si="0"/>
        <v>80</v>
      </c>
    </row>
    <row r="13" spans="1:5" ht="12" customHeight="1" x14ac:dyDescent="0.25">
      <c r="B13" s="4">
        <v>9</v>
      </c>
      <c r="C13" s="6">
        <v>1255</v>
      </c>
      <c r="D13" s="7">
        <f t="shared" si="1"/>
        <v>20</v>
      </c>
      <c r="E13" s="17">
        <f t="shared" si="0"/>
        <v>100</v>
      </c>
    </row>
    <row r="14" spans="1:5" ht="14.25" customHeight="1" x14ac:dyDescent="0.25">
      <c r="B14" s="4">
        <v>10</v>
      </c>
      <c r="C14" s="6">
        <v>1257</v>
      </c>
      <c r="D14" s="7">
        <f t="shared" si="1"/>
        <v>20</v>
      </c>
      <c r="E14" s="17">
        <f t="shared" si="0"/>
        <v>120</v>
      </c>
    </row>
    <row r="15" spans="1:5" x14ac:dyDescent="0.25">
      <c r="B15" s="4">
        <v>11</v>
      </c>
      <c r="C15" s="6">
        <v>1259</v>
      </c>
      <c r="D15" s="7">
        <f t="shared" si="1"/>
        <v>20</v>
      </c>
      <c r="E15" s="17">
        <f t="shared" si="0"/>
        <v>140</v>
      </c>
    </row>
    <row r="16" spans="1:5" x14ac:dyDescent="0.25">
      <c r="A16" s="2">
        <v>0</v>
      </c>
      <c r="B16" s="4">
        <v>12</v>
      </c>
      <c r="C16" s="6">
        <v>1262</v>
      </c>
      <c r="D16" s="7">
        <f t="shared" si="1"/>
        <v>30</v>
      </c>
      <c r="E16" s="17">
        <f t="shared" si="0"/>
        <v>170</v>
      </c>
    </row>
    <row r="17" spans="1:5" x14ac:dyDescent="0.25">
      <c r="B17" s="4">
        <v>13</v>
      </c>
      <c r="C17" s="6">
        <v>1264</v>
      </c>
      <c r="D17" s="7">
        <f t="shared" si="1"/>
        <v>20</v>
      </c>
      <c r="E17" s="17">
        <f t="shared" si="0"/>
        <v>190</v>
      </c>
    </row>
    <row r="18" spans="1:5" ht="14.25" customHeight="1" x14ac:dyDescent="0.25">
      <c r="A18" s="3" t="s">
        <v>4</v>
      </c>
      <c r="B18" s="4">
        <v>14</v>
      </c>
      <c r="C18" s="6">
        <v>1266</v>
      </c>
      <c r="D18" s="7">
        <f t="shared" si="1"/>
        <v>20</v>
      </c>
      <c r="E18" s="17">
        <f t="shared" si="0"/>
        <v>210</v>
      </c>
    </row>
    <row r="19" spans="1:5" x14ac:dyDescent="0.25">
      <c r="B19" s="4">
        <v>15</v>
      </c>
      <c r="C19" s="6">
        <v>1268</v>
      </c>
      <c r="D19" s="7">
        <f t="shared" si="1"/>
        <v>20</v>
      </c>
      <c r="E19" s="17">
        <f t="shared" si="0"/>
        <v>230</v>
      </c>
    </row>
    <row r="20" spans="1:5" x14ac:dyDescent="0.25">
      <c r="A20" s="2">
        <v>0</v>
      </c>
      <c r="B20" s="4">
        <v>16</v>
      </c>
      <c r="C20" s="6">
        <v>1270</v>
      </c>
      <c r="D20" s="7">
        <f t="shared" si="1"/>
        <v>20</v>
      </c>
      <c r="E20" s="17">
        <f t="shared" si="0"/>
        <v>250</v>
      </c>
    </row>
    <row r="21" spans="1:5" x14ac:dyDescent="0.25">
      <c r="B21" s="4">
        <v>17</v>
      </c>
      <c r="C21" s="6">
        <v>1272</v>
      </c>
      <c r="D21" s="7">
        <f t="shared" si="1"/>
        <v>20</v>
      </c>
      <c r="E21" s="17">
        <f t="shared" si="0"/>
        <v>270</v>
      </c>
    </row>
    <row r="22" spans="1:5" x14ac:dyDescent="0.25">
      <c r="B22" s="4">
        <v>18</v>
      </c>
      <c r="C22" s="6">
        <v>1274</v>
      </c>
      <c r="D22" s="7">
        <f t="shared" si="1"/>
        <v>20</v>
      </c>
      <c r="E22" s="17">
        <f t="shared" si="0"/>
        <v>290</v>
      </c>
    </row>
    <row r="23" spans="1:5" x14ac:dyDescent="0.25">
      <c r="B23" s="4">
        <v>19</v>
      </c>
      <c r="C23" s="6">
        <v>1276</v>
      </c>
      <c r="D23" s="7">
        <f t="shared" si="1"/>
        <v>20</v>
      </c>
      <c r="E23" s="17">
        <f t="shared" si="0"/>
        <v>310</v>
      </c>
    </row>
    <row r="24" spans="1:5" x14ac:dyDescent="0.25">
      <c r="B24" s="4">
        <v>20</v>
      </c>
      <c r="C24" s="6">
        <v>1278</v>
      </c>
      <c r="D24" s="7">
        <f t="shared" si="1"/>
        <v>20</v>
      </c>
      <c r="E24" s="17">
        <f t="shared" si="0"/>
        <v>330</v>
      </c>
    </row>
    <row r="25" spans="1:5" x14ac:dyDescent="0.25">
      <c r="B25" s="4">
        <v>21</v>
      </c>
      <c r="C25" s="6">
        <v>1281</v>
      </c>
      <c r="D25" s="7">
        <f t="shared" si="1"/>
        <v>30</v>
      </c>
      <c r="E25" s="17">
        <f t="shared" si="0"/>
        <v>360</v>
      </c>
    </row>
    <row r="26" spans="1:5" x14ac:dyDescent="0.25">
      <c r="B26" s="4">
        <v>22</v>
      </c>
      <c r="C26" s="6">
        <v>1284</v>
      </c>
      <c r="D26" s="7">
        <f t="shared" si="1"/>
        <v>30</v>
      </c>
      <c r="E26" s="17">
        <f t="shared" si="0"/>
        <v>390</v>
      </c>
    </row>
    <row r="27" spans="1:5" x14ac:dyDescent="0.25">
      <c r="A27" s="2" t="s">
        <v>5</v>
      </c>
      <c r="B27" s="4">
        <v>23</v>
      </c>
      <c r="C27" s="6">
        <v>1284</v>
      </c>
      <c r="D27" s="7">
        <f t="shared" si="1"/>
        <v>0</v>
      </c>
      <c r="E27" s="17">
        <f t="shared" si="0"/>
        <v>390</v>
      </c>
    </row>
    <row r="28" spans="1:5" ht="12.75" customHeight="1" x14ac:dyDescent="0.25">
      <c r="B28" s="4">
        <v>24</v>
      </c>
      <c r="C28" s="6">
        <v>1284</v>
      </c>
      <c r="D28" s="7">
        <f t="shared" si="1"/>
        <v>0</v>
      </c>
      <c r="E28" s="17">
        <f t="shared" si="0"/>
        <v>390</v>
      </c>
    </row>
    <row r="29" spans="1:5" ht="15.6" x14ac:dyDescent="0.25">
      <c r="B29" s="12" t="s">
        <v>6</v>
      </c>
      <c r="C29" s="9">
        <f>MAX(C5:C28)</f>
        <v>1284</v>
      </c>
      <c r="D29" s="10">
        <f>MAX(D5:D28)</f>
        <v>30</v>
      </c>
      <c r="E29" s="10">
        <f>MAX(E5:E28)</f>
        <v>390</v>
      </c>
    </row>
    <row r="30" spans="1:5" ht="15.6" x14ac:dyDescent="0.25">
      <c r="B30" s="12" t="s">
        <v>7</v>
      </c>
      <c r="C30" s="9">
        <f>MIN(C5:C28)</f>
        <v>1245</v>
      </c>
      <c r="D30" s="10">
        <f>MIN(D5:D28)</f>
        <v>0</v>
      </c>
      <c r="E30" s="10">
        <f>MIN(E5:E28)</f>
        <v>0</v>
      </c>
    </row>
    <row r="31" spans="1:5" ht="15.6" x14ac:dyDescent="0.25">
      <c r="B31" s="13" t="s">
        <v>8</v>
      </c>
      <c r="C31" s="9">
        <f>AVERAGE(C5:C28)</f>
        <v>1263.0833333333333</v>
      </c>
      <c r="D31" s="10">
        <f>AVERAGE(D5:D28)</f>
        <v>16.25</v>
      </c>
      <c r="E31" s="10">
        <f>AVERAGE(E5:E28)</f>
        <v>180.83333333333334</v>
      </c>
    </row>
    <row r="32" spans="1:5" ht="15.75" customHeight="1" thickBot="1" x14ac:dyDescent="0.3">
      <c r="B32" s="14" t="s">
        <v>9</v>
      </c>
      <c r="C32" s="15">
        <f>SUM(C5:C28)</f>
        <v>30314</v>
      </c>
      <c r="D32" s="15">
        <f>SUM(D5:D28)</f>
        <v>390</v>
      </c>
      <c r="E32" s="15">
        <f>SUM(E5:E28)</f>
        <v>4340</v>
      </c>
    </row>
    <row r="33" spans="2:2" hidden="1" x14ac:dyDescent="0.25"/>
    <row r="34" spans="2:2" hidden="1" x14ac:dyDescent="0.25"/>
    <row r="35" spans="2:2" hidden="1" x14ac:dyDescent="0.25"/>
    <row r="36" spans="2:2" hidden="1" x14ac:dyDescent="0.25"/>
    <row r="37" spans="2:2" hidden="1" x14ac:dyDescent="0.25"/>
    <row r="38" spans="2:2" hidden="1" x14ac:dyDescent="0.25"/>
    <row r="41" spans="2:2" x14ac:dyDescent="0.25">
      <c r="B41" s="2" t="s">
        <v>10</v>
      </c>
    </row>
  </sheetData>
  <mergeCells count="2">
    <mergeCell ref="B1:E2"/>
    <mergeCell ref="C3:D3"/>
  </mergeCells>
  <pageMargins left="0.7" right="0.7" top="0.75" bottom="0.75" header="0.3" footer="0.3"/>
  <pageSetup orientation="portrait" r:id="rId1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2F3F5-DD95-473E-AF4B-50B2D2712F1C}">
  <sheetPr codeName="Hoja31">
    <tabColor rgb="FFFFFF00"/>
  </sheetPr>
  <dimension ref="A1:E41"/>
  <sheetViews>
    <sheetView zoomScale="120" zoomScaleNormal="120" workbookViewId="0">
      <selection activeCell="O20" sqref="O20"/>
    </sheetView>
  </sheetViews>
  <sheetFormatPr baseColWidth="10" defaultColWidth="11.44140625" defaultRowHeight="13.2" x14ac:dyDescent="0.25"/>
  <cols>
    <col min="1" max="1" width="1.6640625" style="2" customWidth="1"/>
    <col min="2" max="2" width="11.44140625" style="2" customWidth="1"/>
    <col min="3" max="3" width="11.6640625" style="2" customWidth="1"/>
    <col min="4" max="4" width="22" style="2" customWidth="1"/>
    <col min="5" max="5" width="28.5546875" style="2" customWidth="1"/>
    <col min="6" max="16384" width="11.44140625" style="2"/>
  </cols>
  <sheetData>
    <row r="1" spans="1:5" s="1" customFormat="1" ht="12.75" customHeight="1" x14ac:dyDescent="0.3">
      <c r="B1" s="31" t="s">
        <v>12</v>
      </c>
      <c r="C1" s="32"/>
      <c r="D1" s="32"/>
      <c r="E1" s="32"/>
    </row>
    <row r="2" spans="1:5" ht="25.5" customHeight="1" thickBot="1" x14ac:dyDescent="0.3">
      <c r="B2" s="33"/>
      <c r="C2" s="34"/>
      <c r="D2" s="34"/>
      <c r="E2" s="34"/>
    </row>
    <row r="3" spans="1:5" x14ac:dyDescent="0.25">
      <c r="B3" s="11" t="s">
        <v>0</v>
      </c>
      <c r="C3" s="26">
        <v>46159</v>
      </c>
      <c r="D3" s="26"/>
      <c r="E3" s="18"/>
    </row>
    <row r="4" spans="1:5" ht="18" customHeight="1" x14ac:dyDescent="0.25">
      <c r="A4" s="2">
        <v>0</v>
      </c>
      <c r="B4" s="23" t="s">
        <v>1</v>
      </c>
      <c r="C4" s="24" t="s">
        <v>2</v>
      </c>
      <c r="D4" s="24" t="s">
        <v>13</v>
      </c>
      <c r="E4" s="25" t="s">
        <v>11</v>
      </c>
    </row>
    <row r="5" spans="1:5" x14ac:dyDescent="0.25">
      <c r="B5" s="4">
        <v>1</v>
      </c>
      <c r="C5" s="6">
        <v>1284</v>
      </c>
      <c r="D5" s="7">
        <f>C5-1284</f>
        <v>0</v>
      </c>
      <c r="E5" s="17">
        <f>+D5</f>
        <v>0</v>
      </c>
    </row>
    <row r="6" spans="1:5" ht="11.25" customHeight="1" x14ac:dyDescent="0.25">
      <c r="B6" s="4">
        <v>2</v>
      </c>
      <c r="C6" s="6">
        <v>1284</v>
      </c>
      <c r="D6" s="7">
        <f>SUM(C6-C5)*10</f>
        <v>0</v>
      </c>
      <c r="E6" s="17">
        <f t="shared" ref="E6:E28" si="0">+D6+E5</f>
        <v>0</v>
      </c>
    </row>
    <row r="7" spans="1:5" ht="11.25" customHeight="1" x14ac:dyDescent="0.25">
      <c r="B7" s="4">
        <v>3</v>
      </c>
      <c r="C7" s="6">
        <v>1284</v>
      </c>
      <c r="D7" s="7">
        <f t="shared" ref="D7:D28" si="1">SUM(C7-C6)*10</f>
        <v>0</v>
      </c>
      <c r="E7" s="17">
        <f t="shared" si="0"/>
        <v>0</v>
      </c>
    </row>
    <row r="8" spans="1:5" ht="12" customHeight="1" x14ac:dyDescent="0.25">
      <c r="B8" s="4">
        <v>4</v>
      </c>
      <c r="C8" s="6">
        <v>1284</v>
      </c>
      <c r="D8" s="7">
        <f>SUM(C8-C7)*10</f>
        <v>0</v>
      </c>
      <c r="E8" s="17">
        <f>+D8+E7</f>
        <v>0</v>
      </c>
    </row>
    <row r="9" spans="1:5" x14ac:dyDescent="0.25">
      <c r="A9" s="2">
        <v>0</v>
      </c>
      <c r="B9" s="4">
        <v>5</v>
      </c>
      <c r="C9" s="6">
        <v>1286</v>
      </c>
      <c r="D9" s="7">
        <f t="shared" si="1"/>
        <v>20</v>
      </c>
      <c r="E9" s="17">
        <f t="shared" si="0"/>
        <v>20</v>
      </c>
    </row>
    <row r="10" spans="1:5" ht="15" customHeight="1" x14ac:dyDescent="0.25">
      <c r="A10" s="2" t="s">
        <v>3</v>
      </c>
      <c r="B10" s="4">
        <v>6</v>
      </c>
      <c r="C10" s="6">
        <v>1288</v>
      </c>
      <c r="D10" s="7">
        <f t="shared" si="1"/>
        <v>20</v>
      </c>
      <c r="E10" s="17">
        <f t="shared" si="0"/>
        <v>40</v>
      </c>
    </row>
    <row r="11" spans="1:5" ht="12" customHeight="1" x14ac:dyDescent="0.25">
      <c r="B11" s="4">
        <v>7</v>
      </c>
      <c r="C11" s="6">
        <v>1292</v>
      </c>
      <c r="D11" s="7">
        <f t="shared" si="1"/>
        <v>40</v>
      </c>
      <c r="E11" s="17">
        <f t="shared" si="0"/>
        <v>80</v>
      </c>
    </row>
    <row r="12" spans="1:5" ht="15.75" customHeight="1" x14ac:dyDescent="0.25">
      <c r="A12" s="2">
        <v>0</v>
      </c>
      <c r="B12" s="4">
        <v>8</v>
      </c>
      <c r="C12" s="6">
        <v>1294</v>
      </c>
      <c r="D12" s="7">
        <f t="shared" si="1"/>
        <v>20</v>
      </c>
      <c r="E12" s="17">
        <f t="shared" si="0"/>
        <v>100</v>
      </c>
    </row>
    <row r="13" spans="1:5" ht="12" customHeight="1" x14ac:dyDescent="0.25">
      <c r="B13" s="4">
        <v>9</v>
      </c>
      <c r="C13" s="6">
        <v>1297</v>
      </c>
      <c r="D13" s="7">
        <f t="shared" si="1"/>
        <v>30</v>
      </c>
      <c r="E13" s="17">
        <f t="shared" si="0"/>
        <v>130</v>
      </c>
    </row>
    <row r="14" spans="1:5" ht="14.25" customHeight="1" x14ac:dyDescent="0.25">
      <c r="B14" s="4">
        <v>10</v>
      </c>
      <c r="C14" s="6">
        <v>1300</v>
      </c>
      <c r="D14" s="7">
        <f t="shared" si="1"/>
        <v>30</v>
      </c>
      <c r="E14" s="17">
        <f t="shared" si="0"/>
        <v>160</v>
      </c>
    </row>
    <row r="15" spans="1:5" x14ac:dyDescent="0.25">
      <c r="B15" s="4">
        <v>11</v>
      </c>
      <c r="C15" s="6">
        <v>1302</v>
      </c>
      <c r="D15" s="7">
        <f t="shared" si="1"/>
        <v>20</v>
      </c>
      <c r="E15" s="17">
        <f t="shared" si="0"/>
        <v>180</v>
      </c>
    </row>
    <row r="16" spans="1:5" x14ac:dyDescent="0.25">
      <c r="A16" s="2">
        <v>0</v>
      </c>
      <c r="B16" s="4">
        <v>12</v>
      </c>
      <c r="C16" s="6">
        <v>1304</v>
      </c>
      <c r="D16" s="7">
        <f t="shared" si="1"/>
        <v>20</v>
      </c>
      <c r="E16" s="17">
        <f t="shared" si="0"/>
        <v>200</v>
      </c>
    </row>
    <row r="17" spans="1:5" x14ac:dyDescent="0.25">
      <c r="B17" s="4">
        <v>13</v>
      </c>
      <c r="C17" s="6">
        <v>1306</v>
      </c>
      <c r="D17" s="7">
        <f t="shared" si="1"/>
        <v>20</v>
      </c>
      <c r="E17" s="17">
        <f t="shared" si="0"/>
        <v>220</v>
      </c>
    </row>
    <row r="18" spans="1:5" ht="14.25" customHeight="1" x14ac:dyDescent="0.25">
      <c r="A18" s="3" t="s">
        <v>4</v>
      </c>
      <c r="B18" s="4">
        <v>14</v>
      </c>
      <c r="C18" s="6">
        <v>1308</v>
      </c>
      <c r="D18" s="7">
        <f t="shared" si="1"/>
        <v>20</v>
      </c>
      <c r="E18" s="17">
        <f t="shared" si="0"/>
        <v>240</v>
      </c>
    </row>
    <row r="19" spans="1:5" x14ac:dyDescent="0.25">
      <c r="B19" s="4">
        <v>15</v>
      </c>
      <c r="C19" s="6">
        <v>1310</v>
      </c>
      <c r="D19" s="7">
        <f t="shared" si="1"/>
        <v>20</v>
      </c>
      <c r="E19" s="17">
        <f t="shared" si="0"/>
        <v>260</v>
      </c>
    </row>
    <row r="20" spans="1:5" x14ac:dyDescent="0.25">
      <c r="A20" s="2">
        <v>0</v>
      </c>
      <c r="B20" s="4">
        <v>16</v>
      </c>
      <c r="C20" s="6">
        <v>1312</v>
      </c>
      <c r="D20" s="7">
        <f t="shared" si="1"/>
        <v>20</v>
      </c>
      <c r="E20" s="17">
        <f t="shared" si="0"/>
        <v>280</v>
      </c>
    </row>
    <row r="21" spans="1:5" x14ac:dyDescent="0.25">
      <c r="B21" s="4">
        <v>17</v>
      </c>
      <c r="C21" s="6">
        <v>1314</v>
      </c>
      <c r="D21" s="7">
        <f t="shared" si="1"/>
        <v>20</v>
      </c>
      <c r="E21" s="17">
        <f t="shared" si="0"/>
        <v>300</v>
      </c>
    </row>
    <row r="22" spans="1:5" x14ac:dyDescent="0.25">
      <c r="B22" s="4">
        <v>18</v>
      </c>
      <c r="C22" s="6">
        <v>1316</v>
      </c>
      <c r="D22" s="7">
        <f t="shared" si="1"/>
        <v>20</v>
      </c>
      <c r="E22" s="17">
        <f t="shared" si="0"/>
        <v>320</v>
      </c>
    </row>
    <row r="23" spans="1:5" x14ac:dyDescent="0.25">
      <c r="B23" s="4">
        <v>19</v>
      </c>
      <c r="C23" s="6">
        <v>1318</v>
      </c>
      <c r="D23" s="7">
        <f t="shared" si="1"/>
        <v>20</v>
      </c>
      <c r="E23" s="17">
        <f t="shared" si="0"/>
        <v>340</v>
      </c>
    </row>
    <row r="24" spans="1:5" x14ac:dyDescent="0.25">
      <c r="B24" s="4">
        <v>20</v>
      </c>
      <c r="C24" s="6">
        <v>1320</v>
      </c>
      <c r="D24" s="7">
        <f t="shared" si="1"/>
        <v>20</v>
      </c>
      <c r="E24" s="17">
        <f t="shared" si="0"/>
        <v>360</v>
      </c>
    </row>
    <row r="25" spans="1:5" x14ac:dyDescent="0.25">
      <c r="B25" s="4">
        <v>21</v>
      </c>
      <c r="C25" s="6">
        <v>1322</v>
      </c>
      <c r="D25" s="7">
        <f t="shared" si="1"/>
        <v>20</v>
      </c>
      <c r="E25" s="17">
        <f t="shared" si="0"/>
        <v>380</v>
      </c>
    </row>
    <row r="26" spans="1:5" x14ac:dyDescent="0.25">
      <c r="B26" s="4">
        <v>22</v>
      </c>
      <c r="C26" s="6">
        <v>1325</v>
      </c>
      <c r="D26" s="7">
        <f t="shared" si="1"/>
        <v>30</v>
      </c>
      <c r="E26" s="17">
        <f t="shared" si="0"/>
        <v>410</v>
      </c>
    </row>
    <row r="27" spans="1:5" x14ac:dyDescent="0.25">
      <c r="A27" s="2" t="s">
        <v>5</v>
      </c>
      <c r="B27" s="4">
        <v>23</v>
      </c>
      <c r="C27" s="6">
        <v>1325</v>
      </c>
      <c r="D27" s="7">
        <f t="shared" si="1"/>
        <v>0</v>
      </c>
      <c r="E27" s="17">
        <f t="shared" si="0"/>
        <v>410</v>
      </c>
    </row>
    <row r="28" spans="1:5" ht="12.75" customHeight="1" x14ac:dyDescent="0.25">
      <c r="B28" s="4">
        <v>24</v>
      </c>
      <c r="C28" s="6">
        <v>1325</v>
      </c>
      <c r="D28" s="7">
        <f t="shared" si="1"/>
        <v>0</v>
      </c>
      <c r="E28" s="17">
        <f t="shared" si="0"/>
        <v>410</v>
      </c>
    </row>
    <row r="29" spans="1:5" ht="15.6" x14ac:dyDescent="0.25">
      <c r="B29" s="12" t="s">
        <v>6</v>
      </c>
      <c r="C29" s="9">
        <f>MAX(C5:C28)</f>
        <v>1325</v>
      </c>
      <c r="D29" s="10">
        <f>MAX(D5:D28)</f>
        <v>40</v>
      </c>
      <c r="E29" s="10">
        <f>MAX(E5:E28)</f>
        <v>410</v>
      </c>
    </row>
    <row r="30" spans="1:5" ht="15.6" x14ac:dyDescent="0.25">
      <c r="B30" s="12" t="s">
        <v>7</v>
      </c>
      <c r="C30" s="9">
        <f>MIN(C5:C28)</f>
        <v>1284</v>
      </c>
      <c r="D30" s="10">
        <f>MIN(D5:D28)</f>
        <v>0</v>
      </c>
      <c r="E30" s="10">
        <f>MIN(E5:E28)</f>
        <v>0</v>
      </c>
    </row>
    <row r="31" spans="1:5" ht="15.6" x14ac:dyDescent="0.25">
      <c r="B31" s="13" t="s">
        <v>8</v>
      </c>
      <c r="C31" s="9">
        <f>AVERAGE(C5:C28)</f>
        <v>1304.1666666666667</v>
      </c>
      <c r="D31" s="10">
        <f>AVERAGE(D5:D28)</f>
        <v>17.083333333333332</v>
      </c>
      <c r="E31" s="10">
        <f>AVERAGE(E5:E28)</f>
        <v>201.66666666666666</v>
      </c>
    </row>
    <row r="32" spans="1:5" ht="15.75" customHeight="1" thickBot="1" x14ac:dyDescent="0.3">
      <c r="B32" s="14" t="s">
        <v>9</v>
      </c>
      <c r="C32" s="15">
        <f>SUM(C5:C28)</f>
        <v>31300</v>
      </c>
      <c r="D32" s="15">
        <f>SUM(D5:D28)</f>
        <v>410</v>
      </c>
      <c r="E32" s="15">
        <f>SUM(E5:E28)</f>
        <v>4840</v>
      </c>
    </row>
    <row r="33" spans="2:2" hidden="1" x14ac:dyDescent="0.25"/>
    <row r="34" spans="2:2" hidden="1" x14ac:dyDescent="0.25"/>
    <row r="35" spans="2:2" hidden="1" x14ac:dyDescent="0.25"/>
    <row r="36" spans="2:2" hidden="1" x14ac:dyDescent="0.25"/>
    <row r="37" spans="2:2" hidden="1" x14ac:dyDescent="0.25"/>
    <row r="38" spans="2:2" hidden="1" x14ac:dyDescent="0.25"/>
    <row r="41" spans="2:2" x14ac:dyDescent="0.25">
      <c r="B41" s="2" t="s">
        <v>10</v>
      </c>
    </row>
  </sheetData>
  <mergeCells count="2">
    <mergeCell ref="B1:E2"/>
    <mergeCell ref="C3:D3"/>
  </mergeCells>
  <pageMargins left="0.7" right="0.7" top="0.75" bottom="0.75" header="0.3" footer="0.3"/>
  <pageSetup orientation="portrait" r:id="rId1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38BA-0BA6-402D-9210-E5F371F7A58D}">
  <sheetPr codeName="Hoja32">
    <tabColor rgb="FFFFFF00"/>
  </sheetPr>
  <dimension ref="A1:E41"/>
  <sheetViews>
    <sheetView zoomScale="120" zoomScaleNormal="120" workbookViewId="0">
      <selection activeCell="C28" sqref="C28"/>
    </sheetView>
  </sheetViews>
  <sheetFormatPr baseColWidth="10" defaultColWidth="11.44140625" defaultRowHeight="13.2" x14ac:dyDescent="0.25"/>
  <cols>
    <col min="1" max="1" width="1.6640625" style="2" customWidth="1"/>
    <col min="2" max="2" width="11.44140625" style="2" customWidth="1"/>
    <col min="3" max="3" width="11.6640625" style="2" customWidth="1"/>
    <col min="4" max="4" width="22" style="2" customWidth="1"/>
    <col min="5" max="5" width="28.5546875" style="2" customWidth="1"/>
    <col min="6" max="16384" width="11.44140625" style="2"/>
  </cols>
  <sheetData>
    <row r="1" spans="1:5" s="1" customFormat="1" ht="12.75" customHeight="1" x14ac:dyDescent="0.3">
      <c r="B1" s="31" t="s">
        <v>12</v>
      </c>
      <c r="C1" s="32"/>
      <c r="D1" s="32"/>
      <c r="E1" s="32"/>
    </row>
    <row r="2" spans="1:5" ht="25.5" customHeight="1" thickBot="1" x14ac:dyDescent="0.3">
      <c r="B2" s="33"/>
      <c r="C2" s="34"/>
      <c r="D2" s="34"/>
      <c r="E2" s="34"/>
    </row>
    <row r="3" spans="1:5" x14ac:dyDescent="0.25">
      <c r="B3" s="11" t="s">
        <v>0</v>
      </c>
      <c r="C3" s="26">
        <v>46159</v>
      </c>
      <c r="D3" s="26"/>
      <c r="E3" s="18"/>
    </row>
    <row r="4" spans="1:5" ht="18" customHeight="1" x14ac:dyDescent="0.25">
      <c r="A4" s="2">
        <v>0</v>
      </c>
      <c r="B4" s="23" t="s">
        <v>1</v>
      </c>
      <c r="C4" s="24" t="s">
        <v>2</v>
      </c>
      <c r="D4" s="24" t="s">
        <v>13</v>
      </c>
      <c r="E4" s="25" t="s">
        <v>11</v>
      </c>
    </row>
    <row r="5" spans="1:5" x14ac:dyDescent="0.25">
      <c r="B5" s="4">
        <v>1</v>
      </c>
      <c r="C5" s="6">
        <v>1325</v>
      </c>
      <c r="D5" s="7">
        <f>C5-1325</f>
        <v>0</v>
      </c>
      <c r="E5" s="17">
        <f>+D5</f>
        <v>0</v>
      </c>
    </row>
    <row r="6" spans="1:5" ht="11.25" customHeight="1" x14ac:dyDescent="0.25">
      <c r="B6" s="4">
        <v>2</v>
      </c>
      <c r="C6" s="6">
        <v>1325</v>
      </c>
      <c r="D6" s="7">
        <f>SUM(C6-C5)*10</f>
        <v>0</v>
      </c>
      <c r="E6" s="17">
        <f t="shared" ref="E6:E28" si="0">+D6+E5</f>
        <v>0</v>
      </c>
    </row>
    <row r="7" spans="1:5" ht="11.25" customHeight="1" x14ac:dyDescent="0.25">
      <c r="B7" s="4">
        <v>3</v>
      </c>
      <c r="C7" s="6">
        <v>1325</v>
      </c>
      <c r="D7" s="7">
        <f t="shared" ref="D7:D28" si="1">SUM(C7-C6)*10</f>
        <v>0</v>
      </c>
      <c r="E7" s="17">
        <f t="shared" si="0"/>
        <v>0</v>
      </c>
    </row>
    <row r="8" spans="1:5" ht="12" customHeight="1" x14ac:dyDescent="0.25">
      <c r="B8" s="4">
        <v>4</v>
      </c>
      <c r="C8" s="6">
        <v>1325</v>
      </c>
      <c r="D8" s="7">
        <f>SUM(C8-C7)*10</f>
        <v>0</v>
      </c>
      <c r="E8" s="17">
        <f>+D8+E7</f>
        <v>0</v>
      </c>
    </row>
    <row r="9" spans="1:5" x14ac:dyDescent="0.25">
      <c r="A9" s="2">
        <v>0</v>
      </c>
      <c r="B9" s="4">
        <v>5</v>
      </c>
      <c r="C9" s="6">
        <v>1327</v>
      </c>
      <c r="D9" s="7">
        <f t="shared" si="1"/>
        <v>20</v>
      </c>
      <c r="E9" s="17">
        <f t="shared" si="0"/>
        <v>20</v>
      </c>
    </row>
    <row r="10" spans="1:5" ht="15" customHeight="1" x14ac:dyDescent="0.25">
      <c r="A10" s="2" t="s">
        <v>3</v>
      </c>
      <c r="B10" s="4">
        <v>6</v>
      </c>
      <c r="C10" s="6">
        <v>1329</v>
      </c>
      <c r="D10" s="7">
        <f t="shared" si="1"/>
        <v>20</v>
      </c>
      <c r="E10" s="17">
        <f t="shared" si="0"/>
        <v>40</v>
      </c>
    </row>
    <row r="11" spans="1:5" ht="12" customHeight="1" x14ac:dyDescent="0.25">
      <c r="B11" s="4">
        <v>7</v>
      </c>
      <c r="C11" s="6">
        <v>1331</v>
      </c>
      <c r="D11" s="7">
        <f t="shared" si="1"/>
        <v>20</v>
      </c>
      <c r="E11" s="17">
        <f t="shared" si="0"/>
        <v>60</v>
      </c>
    </row>
    <row r="12" spans="1:5" ht="15.75" customHeight="1" x14ac:dyDescent="0.25">
      <c r="A12" s="2">
        <v>0</v>
      </c>
      <c r="B12" s="4">
        <v>8</v>
      </c>
      <c r="C12" s="6">
        <v>1334</v>
      </c>
      <c r="D12" s="7">
        <f t="shared" si="1"/>
        <v>30</v>
      </c>
      <c r="E12" s="17">
        <f t="shared" si="0"/>
        <v>90</v>
      </c>
    </row>
    <row r="13" spans="1:5" ht="12" customHeight="1" x14ac:dyDescent="0.25">
      <c r="B13" s="4">
        <v>9</v>
      </c>
      <c r="C13" s="6">
        <v>1337</v>
      </c>
      <c r="D13" s="7">
        <f t="shared" si="1"/>
        <v>30</v>
      </c>
      <c r="E13" s="17">
        <f t="shared" si="0"/>
        <v>120</v>
      </c>
    </row>
    <row r="14" spans="1:5" ht="14.25" customHeight="1" x14ac:dyDescent="0.25">
      <c r="B14" s="4">
        <v>10</v>
      </c>
      <c r="C14" s="6">
        <v>1340</v>
      </c>
      <c r="D14" s="7">
        <f t="shared" si="1"/>
        <v>30</v>
      </c>
      <c r="E14" s="17">
        <f t="shared" si="0"/>
        <v>150</v>
      </c>
    </row>
    <row r="15" spans="1:5" x14ac:dyDescent="0.25">
      <c r="B15" s="4">
        <v>11</v>
      </c>
      <c r="C15" s="6">
        <v>1343</v>
      </c>
      <c r="D15" s="7">
        <f t="shared" si="1"/>
        <v>30</v>
      </c>
      <c r="E15" s="17">
        <f t="shared" si="0"/>
        <v>180</v>
      </c>
    </row>
    <row r="16" spans="1:5" x14ac:dyDescent="0.25">
      <c r="A16" s="2">
        <v>0</v>
      </c>
      <c r="B16" s="4">
        <v>12</v>
      </c>
      <c r="C16" s="6">
        <v>1346</v>
      </c>
      <c r="D16" s="7">
        <f t="shared" si="1"/>
        <v>30</v>
      </c>
      <c r="E16" s="17">
        <f t="shared" si="0"/>
        <v>210</v>
      </c>
    </row>
    <row r="17" spans="1:5" x14ac:dyDescent="0.25">
      <c r="B17" s="4">
        <v>13</v>
      </c>
      <c r="C17" s="6">
        <v>1348</v>
      </c>
      <c r="D17" s="7">
        <f t="shared" si="1"/>
        <v>20</v>
      </c>
      <c r="E17" s="17">
        <f t="shared" si="0"/>
        <v>230</v>
      </c>
    </row>
    <row r="18" spans="1:5" ht="14.25" customHeight="1" x14ac:dyDescent="0.25">
      <c r="A18" s="3" t="s">
        <v>4</v>
      </c>
      <c r="B18" s="4">
        <v>14</v>
      </c>
      <c r="C18" s="6">
        <v>1350</v>
      </c>
      <c r="D18" s="7">
        <f t="shared" si="1"/>
        <v>20</v>
      </c>
      <c r="E18" s="17">
        <f t="shared" si="0"/>
        <v>250</v>
      </c>
    </row>
    <row r="19" spans="1:5" x14ac:dyDescent="0.25">
      <c r="B19" s="4">
        <v>15</v>
      </c>
      <c r="C19" s="6">
        <v>1352</v>
      </c>
      <c r="D19" s="7">
        <f t="shared" si="1"/>
        <v>20</v>
      </c>
      <c r="E19" s="17">
        <f t="shared" si="0"/>
        <v>270</v>
      </c>
    </row>
    <row r="20" spans="1:5" x14ac:dyDescent="0.25">
      <c r="A20" s="2">
        <v>0</v>
      </c>
      <c r="B20" s="4">
        <v>16</v>
      </c>
      <c r="C20" s="6">
        <v>1355</v>
      </c>
      <c r="D20" s="7">
        <f t="shared" si="1"/>
        <v>30</v>
      </c>
      <c r="E20" s="17">
        <f t="shared" si="0"/>
        <v>300</v>
      </c>
    </row>
    <row r="21" spans="1:5" x14ac:dyDescent="0.25">
      <c r="B21" s="4">
        <v>17</v>
      </c>
      <c r="C21" s="6">
        <v>1357</v>
      </c>
      <c r="D21" s="7">
        <f t="shared" si="1"/>
        <v>20</v>
      </c>
      <c r="E21" s="17">
        <f t="shared" si="0"/>
        <v>320</v>
      </c>
    </row>
    <row r="22" spans="1:5" x14ac:dyDescent="0.25">
      <c r="B22" s="4">
        <v>18</v>
      </c>
      <c r="C22" s="6">
        <v>1359</v>
      </c>
      <c r="D22" s="7">
        <f t="shared" si="1"/>
        <v>20</v>
      </c>
      <c r="E22" s="17">
        <f t="shared" si="0"/>
        <v>340</v>
      </c>
    </row>
    <row r="23" spans="1:5" x14ac:dyDescent="0.25">
      <c r="B23" s="4">
        <v>19</v>
      </c>
      <c r="C23" s="6">
        <v>1362</v>
      </c>
      <c r="D23" s="7">
        <f t="shared" si="1"/>
        <v>30</v>
      </c>
      <c r="E23" s="17">
        <f t="shared" si="0"/>
        <v>370</v>
      </c>
    </row>
    <row r="24" spans="1:5" x14ac:dyDescent="0.25">
      <c r="B24" s="4">
        <v>20</v>
      </c>
      <c r="C24" s="6">
        <v>1364</v>
      </c>
      <c r="D24" s="7">
        <f t="shared" si="1"/>
        <v>20</v>
      </c>
      <c r="E24" s="17">
        <f t="shared" si="0"/>
        <v>390</v>
      </c>
    </row>
    <row r="25" spans="1:5" x14ac:dyDescent="0.25">
      <c r="B25" s="4">
        <v>21</v>
      </c>
      <c r="C25" s="6">
        <v>1366</v>
      </c>
      <c r="D25" s="7">
        <f t="shared" si="1"/>
        <v>20</v>
      </c>
      <c r="E25" s="17">
        <f t="shared" si="0"/>
        <v>410</v>
      </c>
    </row>
    <row r="26" spans="1:5" x14ac:dyDescent="0.25">
      <c r="B26" s="4">
        <v>22</v>
      </c>
      <c r="C26" s="6">
        <v>1368</v>
      </c>
      <c r="D26" s="7">
        <f t="shared" si="1"/>
        <v>20</v>
      </c>
      <c r="E26" s="17">
        <f t="shared" si="0"/>
        <v>430</v>
      </c>
    </row>
    <row r="27" spans="1:5" x14ac:dyDescent="0.25">
      <c r="A27" s="2" t="s">
        <v>5</v>
      </c>
      <c r="B27" s="4">
        <v>23</v>
      </c>
      <c r="C27" s="6">
        <v>1368</v>
      </c>
      <c r="D27" s="7">
        <f t="shared" si="1"/>
        <v>0</v>
      </c>
      <c r="E27" s="17">
        <f t="shared" si="0"/>
        <v>430</v>
      </c>
    </row>
    <row r="28" spans="1:5" ht="12.75" customHeight="1" x14ac:dyDescent="0.25">
      <c r="B28" s="4">
        <v>24</v>
      </c>
      <c r="C28" s="6">
        <v>1368</v>
      </c>
      <c r="D28" s="7">
        <f t="shared" si="1"/>
        <v>0</v>
      </c>
      <c r="E28" s="17">
        <f t="shared" si="0"/>
        <v>430</v>
      </c>
    </row>
    <row r="29" spans="1:5" ht="15.6" x14ac:dyDescent="0.25">
      <c r="B29" s="12" t="s">
        <v>6</v>
      </c>
      <c r="C29" s="9">
        <f>MAX(C5:C28)</f>
        <v>1368</v>
      </c>
      <c r="D29" s="10">
        <f>MAX(D5:D28)</f>
        <v>30</v>
      </c>
      <c r="E29" s="10">
        <f>MAX(E5:E28)</f>
        <v>430</v>
      </c>
    </row>
    <row r="30" spans="1:5" ht="15.6" x14ac:dyDescent="0.25">
      <c r="B30" s="12" t="s">
        <v>7</v>
      </c>
      <c r="C30" s="9">
        <f>MIN(C5:C28)</f>
        <v>1325</v>
      </c>
      <c r="D30" s="10">
        <f>MIN(D5:D28)</f>
        <v>0</v>
      </c>
      <c r="E30" s="10">
        <f>MIN(E5:E28)</f>
        <v>0</v>
      </c>
    </row>
    <row r="31" spans="1:5" ht="15.6" x14ac:dyDescent="0.25">
      <c r="B31" s="13" t="s">
        <v>8</v>
      </c>
      <c r="C31" s="9">
        <f>AVERAGE(C5:C28)</f>
        <v>1346</v>
      </c>
      <c r="D31" s="10">
        <f>AVERAGE(D5:D28)</f>
        <v>17.916666666666668</v>
      </c>
      <c r="E31" s="10">
        <f>AVERAGE(E5:E28)</f>
        <v>210</v>
      </c>
    </row>
    <row r="32" spans="1:5" ht="15.75" customHeight="1" thickBot="1" x14ac:dyDescent="0.3">
      <c r="B32" s="14" t="s">
        <v>9</v>
      </c>
      <c r="C32" s="15">
        <f>SUM(C5:C28)</f>
        <v>32304</v>
      </c>
      <c r="D32" s="15">
        <f>SUM(D5:D28)</f>
        <v>430</v>
      </c>
      <c r="E32" s="15">
        <f>SUM(E5:E28)</f>
        <v>5040</v>
      </c>
    </row>
    <row r="33" spans="2:2" hidden="1" x14ac:dyDescent="0.25"/>
    <row r="34" spans="2:2" hidden="1" x14ac:dyDescent="0.25"/>
    <row r="35" spans="2:2" hidden="1" x14ac:dyDescent="0.25"/>
    <row r="36" spans="2:2" hidden="1" x14ac:dyDescent="0.25"/>
    <row r="37" spans="2:2" hidden="1" x14ac:dyDescent="0.25"/>
    <row r="38" spans="2:2" hidden="1" x14ac:dyDescent="0.25"/>
    <row r="41" spans="2:2" x14ac:dyDescent="0.25">
      <c r="B41" s="2" t="s">
        <v>10</v>
      </c>
    </row>
  </sheetData>
  <mergeCells count="2">
    <mergeCell ref="B1:E2"/>
    <mergeCell ref="C3:D3"/>
  </mergeCells>
  <pageMargins left="0.7" right="0.7" top="0.75" bottom="0.75" header="0.3" footer="0.3"/>
  <pageSetup orientation="portrait" r:id="rId1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F1E76-9823-49C1-9CF6-59225636EC99}">
  <sheetPr codeName="Hoja33">
    <tabColor rgb="FFFFFF00"/>
  </sheetPr>
  <dimension ref="A1:E41"/>
  <sheetViews>
    <sheetView zoomScale="120" zoomScaleNormal="120" workbookViewId="0">
      <selection activeCell="D5" sqref="D5"/>
    </sheetView>
  </sheetViews>
  <sheetFormatPr baseColWidth="10" defaultColWidth="11.44140625" defaultRowHeight="13.2" x14ac:dyDescent="0.25"/>
  <cols>
    <col min="1" max="1" width="1.6640625" style="2" customWidth="1"/>
    <col min="2" max="2" width="11.44140625" style="2" customWidth="1"/>
    <col min="3" max="3" width="11.6640625" style="2" customWidth="1"/>
    <col min="4" max="4" width="22" style="2" customWidth="1"/>
    <col min="5" max="5" width="28.5546875" style="2" customWidth="1"/>
    <col min="6" max="16384" width="11.44140625" style="2"/>
  </cols>
  <sheetData>
    <row r="1" spans="1:5" s="1" customFormat="1" ht="12.75" customHeight="1" x14ac:dyDescent="0.3">
      <c r="B1" s="31" t="s">
        <v>12</v>
      </c>
      <c r="C1" s="32"/>
      <c r="D1" s="32"/>
      <c r="E1" s="32"/>
    </row>
    <row r="2" spans="1:5" ht="25.5" customHeight="1" thickBot="1" x14ac:dyDescent="0.3">
      <c r="B2" s="33"/>
      <c r="C2" s="34"/>
      <c r="D2" s="34"/>
      <c r="E2" s="34"/>
    </row>
    <row r="3" spans="1:5" x14ac:dyDescent="0.25">
      <c r="B3" s="11" t="s">
        <v>0</v>
      </c>
      <c r="C3" s="26">
        <v>46159</v>
      </c>
      <c r="D3" s="26"/>
      <c r="E3" s="18"/>
    </row>
    <row r="4" spans="1:5" ht="18" customHeight="1" x14ac:dyDescent="0.25">
      <c r="A4" s="2">
        <v>0</v>
      </c>
      <c r="B4" s="23" t="s">
        <v>1</v>
      </c>
      <c r="C4" s="24" t="s">
        <v>2</v>
      </c>
      <c r="D4" s="24" t="s">
        <v>13</v>
      </c>
      <c r="E4" s="25" t="s">
        <v>11</v>
      </c>
    </row>
    <row r="5" spans="1:5" x14ac:dyDescent="0.25">
      <c r="B5" s="4">
        <v>1</v>
      </c>
      <c r="C5" s="6">
        <v>1368</v>
      </c>
      <c r="D5" s="7">
        <v>0</v>
      </c>
      <c r="E5" s="17">
        <f>+D5</f>
        <v>0</v>
      </c>
    </row>
    <row r="6" spans="1:5" ht="11.25" customHeight="1" x14ac:dyDescent="0.25">
      <c r="B6" s="4">
        <v>2</v>
      </c>
      <c r="C6" s="6">
        <v>1368</v>
      </c>
      <c r="D6" s="7">
        <f>SUM(C6-C5)*10</f>
        <v>0</v>
      </c>
      <c r="E6" s="17">
        <f t="shared" ref="E6:E28" si="0">+D6+E5</f>
        <v>0</v>
      </c>
    </row>
    <row r="7" spans="1:5" ht="11.25" customHeight="1" x14ac:dyDescent="0.25">
      <c r="B7" s="4">
        <v>3</v>
      </c>
      <c r="C7" s="6">
        <v>1368</v>
      </c>
      <c r="D7" s="7">
        <f t="shared" ref="D7:D28" si="1">SUM(C7-C6)*10</f>
        <v>0</v>
      </c>
      <c r="E7" s="17">
        <f t="shared" si="0"/>
        <v>0</v>
      </c>
    </row>
    <row r="8" spans="1:5" ht="12" customHeight="1" x14ac:dyDescent="0.25">
      <c r="B8" s="4">
        <v>4</v>
      </c>
      <c r="C8" s="6">
        <v>1368</v>
      </c>
      <c r="D8" s="7">
        <f>SUM(C8-C7)*10</f>
        <v>0</v>
      </c>
      <c r="E8" s="17">
        <f>+D8+E7</f>
        <v>0</v>
      </c>
    </row>
    <row r="9" spans="1:5" x14ac:dyDescent="0.25">
      <c r="A9" s="2">
        <v>0</v>
      </c>
      <c r="B9" s="4">
        <v>5</v>
      </c>
      <c r="C9" s="6">
        <v>1372</v>
      </c>
      <c r="D9" s="7">
        <f t="shared" si="1"/>
        <v>40</v>
      </c>
      <c r="E9" s="17">
        <f t="shared" si="0"/>
        <v>40</v>
      </c>
    </row>
    <row r="10" spans="1:5" ht="15" customHeight="1" x14ac:dyDescent="0.25">
      <c r="A10" s="2" t="s">
        <v>3</v>
      </c>
      <c r="B10" s="4">
        <v>6</v>
      </c>
      <c r="C10" s="6">
        <v>1374</v>
      </c>
      <c r="D10" s="7">
        <f t="shared" si="1"/>
        <v>20</v>
      </c>
      <c r="E10" s="17">
        <f t="shared" si="0"/>
        <v>60</v>
      </c>
    </row>
    <row r="11" spans="1:5" ht="12" customHeight="1" x14ac:dyDescent="0.25">
      <c r="B11" s="4">
        <v>7</v>
      </c>
      <c r="C11" s="6">
        <v>1376</v>
      </c>
      <c r="D11" s="7">
        <f t="shared" si="1"/>
        <v>20</v>
      </c>
      <c r="E11" s="17">
        <f t="shared" si="0"/>
        <v>80</v>
      </c>
    </row>
    <row r="12" spans="1:5" ht="15.75" customHeight="1" x14ac:dyDescent="0.25">
      <c r="A12" s="2">
        <v>0</v>
      </c>
      <c r="B12" s="4">
        <v>8</v>
      </c>
      <c r="C12" s="6">
        <v>1378</v>
      </c>
      <c r="D12" s="7">
        <f t="shared" si="1"/>
        <v>20</v>
      </c>
      <c r="E12" s="17">
        <f t="shared" si="0"/>
        <v>100</v>
      </c>
    </row>
    <row r="13" spans="1:5" ht="12" customHeight="1" x14ac:dyDescent="0.25">
      <c r="B13" s="4">
        <v>9</v>
      </c>
      <c r="C13" s="6">
        <v>1380</v>
      </c>
      <c r="D13" s="7">
        <f t="shared" si="1"/>
        <v>20</v>
      </c>
      <c r="E13" s="17">
        <f t="shared" si="0"/>
        <v>120</v>
      </c>
    </row>
    <row r="14" spans="1:5" ht="14.25" customHeight="1" x14ac:dyDescent="0.25">
      <c r="B14" s="4">
        <v>10</v>
      </c>
      <c r="C14" s="6">
        <v>1382</v>
      </c>
      <c r="D14" s="7">
        <f t="shared" si="1"/>
        <v>20</v>
      </c>
      <c r="E14" s="17">
        <f t="shared" si="0"/>
        <v>140</v>
      </c>
    </row>
    <row r="15" spans="1:5" x14ac:dyDescent="0.25">
      <c r="B15" s="4">
        <v>11</v>
      </c>
      <c r="C15" s="6">
        <v>1384</v>
      </c>
      <c r="D15" s="7">
        <f t="shared" si="1"/>
        <v>20</v>
      </c>
      <c r="E15" s="17">
        <f t="shared" si="0"/>
        <v>160</v>
      </c>
    </row>
    <row r="16" spans="1:5" x14ac:dyDescent="0.25">
      <c r="A16" s="2">
        <v>0</v>
      </c>
      <c r="B16" s="4">
        <v>12</v>
      </c>
      <c r="C16" s="6">
        <v>1386</v>
      </c>
      <c r="D16" s="7">
        <f t="shared" si="1"/>
        <v>20</v>
      </c>
      <c r="E16" s="17">
        <f t="shared" si="0"/>
        <v>180</v>
      </c>
    </row>
    <row r="17" spans="1:5" x14ac:dyDescent="0.25">
      <c r="B17" s="4">
        <v>13</v>
      </c>
      <c r="C17" s="6">
        <v>1388</v>
      </c>
      <c r="D17" s="7">
        <f t="shared" si="1"/>
        <v>20</v>
      </c>
      <c r="E17" s="17">
        <f t="shared" si="0"/>
        <v>200</v>
      </c>
    </row>
    <row r="18" spans="1:5" ht="14.25" customHeight="1" x14ac:dyDescent="0.25">
      <c r="A18" s="3" t="s">
        <v>4</v>
      </c>
      <c r="B18" s="4">
        <v>14</v>
      </c>
      <c r="C18" s="6">
        <v>1390</v>
      </c>
      <c r="D18" s="7">
        <f t="shared" si="1"/>
        <v>20</v>
      </c>
      <c r="E18" s="17">
        <f t="shared" si="0"/>
        <v>220</v>
      </c>
    </row>
    <row r="19" spans="1:5" x14ac:dyDescent="0.25">
      <c r="B19" s="4">
        <v>15</v>
      </c>
      <c r="C19" s="6">
        <v>1392</v>
      </c>
      <c r="D19" s="7">
        <f t="shared" si="1"/>
        <v>20</v>
      </c>
      <c r="E19" s="17">
        <f t="shared" si="0"/>
        <v>240</v>
      </c>
    </row>
    <row r="20" spans="1:5" x14ac:dyDescent="0.25">
      <c r="A20" s="2">
        <v>0</v>
      </c>
      <c r="B20" s="4">
        <v>16</v>
      </c>
      <c r="C20" s="6">
        <v>1394</v>
      </c>
      <c r="D20" s="7">
        <f t="shared" si="1"/>
        <v>20</v>
      </c>
      <c r="E20" s="17">
        <f t="shared" si="0"/>
        <v>260</v>
      </c>
    </row>
    <row r="21" spans="1:5" x14ac:dyDescent="0.25">
      <c r="B21" s="4">
        <v>17</v>
      </c>
      <c r="C21" s="6">
        <v>1396</v>
      </c>
      <c r="D21" s="7">
        <f t="shared" si="1"/>
        <v>20</v>
      </c>
      <c r="E21" s="17">
        <f t="shared" si="0"/>
        <v>280</v>
      </c>
    </row>
    <row r="22" spans="1:5" x14ac:dyDescent="0.25">
      <c r="B22" s="4">
        <v>18</v>
      </c>
      <c r="C22" s="6">
        <v>1398</v>
      </c>
      <c r="D22" s="7">
        <f t="shared" si="1"/>
        <v>20</v>
      </c>
      <c r="E22" s="17">
        <f t="shared" si="0"/>
        <v>300</v>
      </c>
    </row>
    <row r="23" spans="1:5" x14ac:dyDescent="0.25">
      <c r="B23" s="4">
        <v>19</v>
      </c>
      <c r="C23" s="6">
        <v>1400</v>
      </c>
      <c r="D23" s="7">
        <f t="shared" si="1"/>
        <v>20</v>
      </c>
      <c r="E23" s="17">
        <f t="shared" si="0"/>
        <v>320</v>
      </c>
    </row>
    <row r="24" spans="1:5" x14ac:dyDescent="0.25">
      <c r="B24" s="4">
        <v>20</v>
      </c>
      <c r="C24" s="6">
        <v>1402</v>
      </c>
      <c r="D24" s="7">
        <f t="shared" si="1"/>
        <v>20</v>
      </c>
      <c r="E24" s="17">
        <f t="shared" si="0"/>
        <v>340</v>
      </c>
    </row>
    <row r="25" spans="1:5" x14ac:dyDescent="0.25">
      <c r="B25" s="4">
        <v>21</v>
      </c>
      <c r="C25" s="6">
        <v>1404</v>
      </c>
      <c r="D25" s="7">
        <f t="shared" si="1"/>
        <v>20</v>
      </c>
      <c r="E25" s="17">
        <f t="shared" si="0"/>
        <v>360</v>
      </c>
    </row>
    <row r="26" spans="1:5" x14ac:dyDescent="0.25">
      <c r="B26" s="4">
        <v>22</v>
      </c>
      <c r="C26" s="6">
        <v>1406</v>
      </c>
      <c r="D26" s="7">
        <f t="shared" si="1"/>
        <v>20</v>
      </c>
      <c r="E26" s="17">
        <f t="shared" si="0"/>
        <v>380</v>
      </c>
    </row>
    <row r="27" spans="1:5" x14ac:dyDescent="0.25">
      <c r="A27" s="2" t="s">
        <v>5</v>
      </c>
      <c r="B27" s="4">
        <v>23</v>
      </c>
      <c r="C27" s="6">
        <v>1406</v>
      </c>
      <c r="D27" s="7">
        <f t="shared" si="1"/>
        <v>0</v>
      </c>
      <c r="E27" s="17">
        <f t="shared" si="0"/>
        <v>380</v>
      </c>
    </row>
    <row r="28" spans="1:5" ht="12.75" customHeight="1" x14ac:dyDescent="0.25">
      <c r="B28" s="4">
        <v>24</v>
      </c>
      <c r="C28" s="6">
        <v>1406</v>
      </c>
      <c r="D28" s="7">
        <f t="shared" si="1"/>
        <v>0</v>
      </c>
      <c r="E28" s="17">
        <f t="shared" si="0"/>
        <v>380</v>
      </c>
    </row>
    <row r="29" spans="1:5" ht="15.6" x14ac:dyDescent="0.25">
      <c r="B29" s="12" t="s">
        <v>6</v>
      </c>
      <c r="C29" s="9">
        <f>MAX(C5:C28)</f>
        <v>1406</v>
      </c>
      <c r="D29" s="10">
        <f>MAX(D5:D28)</f>
        <v>40</v>
      </c>
      <c r="E29" s="10">
        <f>MAX(E5:E28)</f>
        <v>380</v>
      </c>
    </row>
    <row r="30" spans="1:5" ht="15.6" x14ac:dyDescent="0.25">
      <c r="B30" s="12" t="s">
        <v>7</v>
      </c>
      <c r="C30" s="9">
        <f>MIN(C5:C28)</f>
        <v>1368</v>
      </c>
      <c r="D30" s="10">
        <f>MIN(D5:D28)</f>
        <v>0</v>
      </c>
      <c r="E30" s="10">
        <f>MIN(E5:E28)</f>
        <v>0</v>
      </c>
    </row>
    <row r="31" spans="1:5" ht="15.6" x14ac:dyDescent="0.25">
      <c r="B31" s="13" t="s">
        <v>8</v>
      </c>
      <c r="C31" s="9">
        <f>AVERAGE(C5:C28)</f>
        <v>1386.9166666666667</v>
      </c>
      <c r="D31" s="10">
        <f>AVERAGE(D5:D28)</f>
        <v>15.833333333333334</v>
      </c>
      <c r="E31" s="10">
        <f>AVERAGE(E5:E28)</f>
        <v>189.16666666666666</v>
      </c>
    </row>
    <row r="32" spans="1:5" ht="15.75" customHeight="1" thickBot="1" x14ac:dyDescent="0.3">
      <c r="B32" s="14" t="s">
        <v>9</v>
      </c>
      <c r="C32" s="15">
        <f>SUM(C5:C28)</f>
        <v>33286</v>
      </c>
      <c r="D32" s="15">
        <f>SUM(D5:D28)</f>
        <v>380</v>
      </c>
      <c r="E32" s="15">
        <f>SUM(E5:E28)</f>
        <v>4540</v>
      </c>
    </row>
    <row r="33" spans="2:2" hidden="1" x14ac:dyDescent="0.25"/>
    <row r="34" spans="2:2" hidden="1" x14ac:dyDescent="0.25"/>
    <row r="35" spans="2:2" hidden="1" x14ac:dyDescent="0.25"/>
    <row r="36" spans="2:2" hidden="1" x14ac:dyDescent="0.25"/>
    <row r="37" spans="2:2" hidden="1" x14ac:dyDescent="0.25"/>
    <row r="38" spans="2:2" hidden="1" x14ac:dyDescent="0.25"/>
    <row r="41" spans="2:2" x14ac:dyDescent="0.25">
      <c r="B41" s="2" t="s">
        <v>10</v>
      </c>
    </row>
  </sheetData>
  <mergeCells count="2">
    <mergeCell ref="B1:E2"/>
    <mergeCell ref="C3:D3"/>
  </mergeCells>
  <pageMargins left="0.7" right="0.7" top="0.75" bottom="0.75" header="0.3" footer="0.3"/>
  <pageSetup orientation="portrait" r:id="rId1"/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E22F3-11C4-4F66-9669-CA47C3A38ACB}">
  <sheetPr>
    <tabColor rgb="FFFFFF00"/>
  </sheetPr>
  <dimension ref="A1:E41"/>
  <sheetViews>
    <sheetView zoomScale="120" zoomScaleNormal="120" workbookViewId="0">
      <selection activeCell="D5" sqref="D5"/>
    </sheetView>
  </sheetViews>
  <sheetFormatPr baseColWidth="10" defaultColWidth="11.44140625" defaultRowHeight="13.2" x14ac:dyDescent="0.25"/>
  <cols>
    <col min="1" max="1" width="1.6640625" style="2" customWidth="1"/>
    <col min="2" max="2" width="11.44140625" style="2" customWidth="1"/>
    <col min="3" max="3" width="11.6640625" style="2" customWidth="1"/>
    <col min="4" max="4" width="22" style="2" customWidth="1"/>
    <col min="5" max="5" width="28.5546875" style="2" customWidth="1"/>
    <col min="6" max="16384" width="11.44140625" style="2"/>
  </cols>
  <sheetData>
    <row r="1" spans="1:5" s="1" customFormat="1" ht="12.75" customHeight="1" x14ac:dyDescent="0.3">
      <c r="B1" s="31" t="s">
        <v>12</v>
      </c>
      <c r="C1" s="32"/>
      <c r="D1" s="32"/>
      <c r="E1" s="32"/>
    </row>
    <row r="2" spans="1:5" ht="25.5" customHeight="1" thickBot="1" x14ac:dyDescent="0.3">
      <c r="B2" s="33"/>
      <c r="C2" s="34"/>
      <c r="D2" s="34"/>
      <c r="E2" s="34"/>
    </row>
    <row r="3" spans="1:5" x14ac:dyDescent="0.25">
      <c r="B3" s="11" t="s">
        <v>0</v>
      </c>
      <c r="C3" s="26">
        <v>46159</v>
      </c>
      <c r="D3" s="26"/>
      <c r="E3" s="18"/>
    </row>
    <row r="4" spans="1:5" ht="18" customHeight="1" x14ac:dyDescent="0.25">
      <c r="A4" s="2">
        <v>0</v>
      </c>
      <c r="B4" s="23" t="s">
        <v>1</v>
      </c>
      <c r="C4" s="24" t="s">
        <v>2</v>
      </c>
      <c r="D4" s="24" t="s">
        <v>13</v>
      </c>
      <c r="E4" s="25" t="s">
        <v>11</v>
      </c>
    </row>
    <row r="5" spans="1:5" x14ac:dyDescent="0.25">
      <c r="B5" s="4">
        <v>1</v>
      </c>
      <c r="C5" s="6">
        <v>1406</v>
      </c>
      <c r="D5" s="7">
        <v>0</v>
      </c>
      <c r="E5" s="17">
        <f>+D5</f>
        <v>0</v>
      </c>
    </row>
    <row r="6" spans="1:5" ht="11.25" customHeight="1" x14ac:dyDescent="0.25">
      <c r="B6" s="4">
        <v>2</v>
      </c>
      <c r="C6" s="6">
        <v>1406</v>
      </c>
      <c r="D6" s="7">
        <f>SUM(C6-C5)*10</f>
        <v>0</v>
      </c>
      <c r="E6" s="17">
        <f t="shared" ref="E6:E28" si="0">+D6+E5</f>
        <v>0</v>
      </c>
    </row>
    <row r="7" spans="1:5" ht="11.25" customHeight="1" x14ac:dyDescent="0.25">
      <c r="B7" s="4">
        <v>3</v>
      </c>
      <c r="C7" s="6">
        <v>1406</v>
      </c>
      <c r="D7" s="7">
        <f t="shared" ref="D7:D25" si="1">SUM(C7-C6)*10</f>
        <v>0</v>
      </c>
      <c r="E7" s="17">
        <f t="shared" si="0"/>
        <v>0</v>
      </c>
    </row>
    <row r="8" spans="1:5" ht="12" customHeight="1" x14ac:dyDescent="0.25">
      <c r="B8" s="4">
        <v>4</v>
      </c>
      <c r="C8" s="6">
        <v>1406</v>
      </c>
      <c r="D8" s="7">
        <f>SUM(C8-C7)*10</f>
        <v>0</v>
      </c>
      <c r="E8" s="17">
        <f>+D8+E7</f>
        <v>0</v>
      </c>
    </row>
    <row r="9" spans="1:5" x14ac:dyDescent="0.25">
      <c r="A9" s="2">
        <v>0</v>
      </c>
      <c r="B9" s="4">
        <v>5</v>
      </c>
      <c r="C9" s="6">
        <v>1408</v>
      </c>
      <c r="D9" s="7">
        <f t="shared" si="1"/>
        <v>20</v>
      </c>
      <c r="E9" s="17">
        <f t="shared" si="0"/>
        <v>20</v>
      </c>
    </row>
    <row r="10" spans="1:5" ht="15" customHeight="1" x14ac:dyDescent="0.25">
      <c r="A10" s="2" t="s">
        <v>3</v>
      </c>
      <c r="B10" s="4">
        <v>6</v>
      </c>
      <c r="C10" s="6">
        <v>1410</v>
      </c>
      <c r="D10" s="7">
        <f t="shared" si="1"/>
        <v>20</v>
      </c>
      <c r="E10" s="17">
        <f t="shared" si="0"/>
        <v>40</v>
      </c>
    </row>
    <row r="11" spans="1:5" ht="12" customHeight="1" x14ac:dyDescent="0.25">
      <c r="B11" s="4">
        <v>7</v>
      </c>
      <c r="C11" s="6">
        <v>1412</v>
      </c>
      <c r="D11" s="7">
        <f t="shared" si="1"/>
        <v>20</v>
      </c>
      <c r="E11" s="17">
        <f t="shared" si="0"/>
        <v>60</v>
      </c>
    </row>
    <row r="12" spans="1:5" ht="15.75" customHeight="1" x14ac:dyDescent="0.25">
      <c r="A12" s="2">
        <v>0</v>
      </c>
      <c r="B12" s="4">
        <v>8</v>
      </c>
      <c r="C12" s="6">
        <v>1414</v>
      </c>
      <c r="D12" s="7">
        <f t="shared" si="1"/>
        <v>20</v>
      </c>
      <c r="E12" s="17">
        <f t="shared" si="0"/>
        <v>80</v>
      </c>
    </row>
    <row r="13" spans="1:5" ht="12" customHeight="1" x14ac:dyDescent="0.25">
      <c r="B13" s="4">
        <v>9</v>
      </c>
      <c r="C13" s="6">
        <v>1416</v>
      </c>
      <c r="D13" s="7">
        <f t="shared" si="1"/>
        <v>20</v>
      </c>
      <c r="E13" s="17">
        <f t="shared" si="0"/>
        <v>100</v>
      </c>
    </row>
    <row r="14" spans="1:5" ht="14.25" customHeight="1" x14ac:dyDescent="0.25">
      <c r="B14" s="4">
        <v>10</v>
      </c>
      <c r="C14" s="6">
        <v>1419</v>
      </c>
      <c r="D14" s="7">
        <f t="shared" si="1"/>
        <v>30</v>
      </c>
      <c r="E14" s="17">
        <f t="shared" si="0"/>
        <v>130</v>
      </c>
    </row>
    <row r="15" spans="1:5" x14ac:dyDescent="0.25">
      <c r="B15" s="4">
        <v>11</v>
      </c>
      <c r="C15" s="6">
        <v>1422</v>
      </c>
      <c r="D15" s="7">
        <f t="shared" si="1"/>
        <v>30</v>
      </c>
      <c r="E15" s="17">
        <f t="shared" si="0"/>
        <v>160</v>
      </c>
    </row>
    <row r="16" spans="1:5" x14ac:dyDescent="0.25">
      <c r="A16" s="2">
        <v>0</v>
      </c>
      <c r="B16" s="4">
        <v>12</v>
      </c>
      <c r="C16" s="6">
        <v>1426</v>
      </c>
      <c r="D16" s="7">
        <f t="shared" si="1"/>
        <v>40</v>
      </c>
      <c r="E16" s="17">
        <f t="shared" si="0"/>
        <v>200</v>
      </c>
    </row>
    <row r="17" spans="1:5" x14ac:dyDescent="0.25">
      <c r="B17" s="4">
        <v>13</v>
      </c>
      <c r="C17" s="6">
        <v>1430</v>
      </c>
      <c r="D17" s="7">
        <f t="shared" si="1"/>
        <v>40</v>
      </c>
      <c r="E17" s="17">
        <f t="shared" si="0"/>
        <v>240</v>
      </c>
    </row>
    <row r="18" spans="1:5" ht="14.25" customHeight="1" x14ac:dyDescent="0.25">
      <c r="A18" s="3" t="s">
        <v>4</v>
      </c>
      <c r="B18" s="4">
        <v>14</v>
      </c>
      <c r="C18" s="6">
        <v>1434</v>
      </c>
      <c r="D18" s="7">
        <f t="shared" si="1"/>
        <v>40</v>
      </c>
      <c r="E18" s="17">
        <f t="shared" si="0"/>
        <v>280</v>
      </c>
    </row>
    <row r="19" spans="1:5" x14ac:dyDescent="0.25">
      <c r="B19" s="4">
        <v>15</v>
      </c>
      <c r="C19" s="6">
        <v>1437</v>
      </c>
      <c r="D19" s="7">
        <f t="shared" si="1"/>
        <v>30</v>
      </c>
      <c r="E19" s="17">
        <f t="shared" si="0"/>
        <v>310</v>
      </c>
    </row>
    <row r="20" spans="1:5" x14ac:dyDescent="0.25">
      <c r="A20" s="2">
        <v>0</v>
      </c>
      <c r="B20" s="4">
        <v>16</v>
      </c>
      <c r="C20" s="6">
        <v>1439</v>
      </c>
      <c r="D20" s="7">
        <f t="shared" si="1"/>
        <v>20</v>
      </c>
      <c r="E20" s="17">
        <f t="shared" si="0"/>
        <v>330</v>
      </c>
    </row>
    <row r="21" spans="1:5" x14ac:dyDescent="0.25">
      <c r="B21" s="4">
        <v>17</v>
      </c>
      <c r="C21" s="6">
        <v>1441</v>
      </c>
      <c r="D21" s="7">
        <f t="shared" si="1"/>
        <v>20</v>
      </c>
      <c r="E21" s="17">
        <f t="shared" si="0"/>
        <v>350</v>
      </c>
    </row>
    <row r="22" spans="1:5" x14ac:dyDescent="0.25">
      <c r="B22" s="4">
        <v>18</v>
      </c>
      <c r="C22" s="6">
        <v>1443</v>
      </c>
      <c r="D22" s="7">
        <f t="shared" si="1"/>
        <v>20</v>
      </c>
      <c r="E22" s="17">
        <f t="shared" si="0"/>
        <v>370</v>
      </c>
    </row>
    <row r="23" spans="1:5" x14ac:dyDescent="0.25">
      <c r="B23" s="4">
        <v>19</v>
      </c>
      <c r="C23" s="6">
        <v>1445</v>
      </c>
      <c r="D23" s="7">
        <f t="shared" si="1"/>
        <v>20</v>
      </c>
      <c r="E23" s="17">
        <f t="shared" si="0"/>
        <v>390</v>
      </c>
    </row>
    <row r="24" spans="1:5" x14ac:dyDescent="0.25">
      <c r="B24" s="4">
        <v>20</v>
      </c>
      <c r="C24" s="6">
        <v>1447</v>
      </c>
      <c r="D24" s="7">
        <f t="shared" si="1"/>
        <v>20</v>
      </c>
      <c r="E24" s="17">
        <f t="shared" si="0"/>
        <v>410</v>
      </c>
    </row>
    <row r="25" spans="1:5" x14ac:dyDescent="0.25">
      <c r="B25" s="4">
        <v>21</v>
      </c>
      <c r="C25" s="6">
        <v>1449</v>
      </c>
      <c r="D25" s="7">
        <f t="shared" si="1"/>
        <v>20</v>
      </c>
      <c r="E25" s="17">
        <f t="shared" si="0"/>
        <v>430</v>
      </c>
    </row>
    <row r="26" spans="1:5" x14ac:dyDescent="0.25">
      <c r="B26" s="4">
        <v>22</v>
      </c>
      <c r="C26" s="6">
        <v>1451</v>
      </c>
      <c r="D26" s="7">
        <f>SUM(C26-C25)*10</f>
        <v>20</v>
      </c>
      <c r="E26" s="17">
        <f t="shared" si="0"/>
        <v>450</v>
      </c>
    </row>
    <row r="27" spans="1:5" x14ac:dyDescent="0.25">
      <c r="A27" s="2" t="s">
        <v>5</v>
      </c>
      <c r="B27" s="4">
        <v>23</v>
      </c>
      <c r="C27" s="6">
        <v>1451</v>
      </c>
      <c r="D27" s="7">
        <f>SUM(C27-C26)*10</f>
        <v>0</v>
      </c>
      <c r="E27" s="17">
        <f t="shared" si="0"/>
        <v>450</v>
      </c>
    </row>
    <row r="28" spans="1:5" ht="12.75" customHeight="1" x14ac:dyDescent="0.25">
      <c r="B28" s="4">
        <v>24</v>
      </c>
      <c r="C28" s="6">
        <v>1451</v>
      </c>
      <c r="D28" s="7">
        <f>SUM(C28-C27)*10</f>
        <v>0</v>
      </c>
      <c r="E28" s="17">
        <f t="shared" si="0"/>
        <v>450</v>
      </c>
    </row>
    <row r="29" spans="1:5" ht="15.6" x14ac:dyDescent="0.25">
      <c r="B29" s="12" t="s">
        <v>6</v>
      </c>
      <c r="C29" s="9">
        <f>MAX(C5:C28)</f>
        <v>1451</v>
      </c>
      <c r="D29" s="10">
        <f>MAX(D5:D28)</f>
        <v>40</v>
      </c>
      <c r="E29" s="10">
        <f>MAX(E5:E28)</f>
        <v>450</v>
      </c>
    </row>
    <row r="30" spans="1:5" ht="15.6" x14ac:dyDescent="0.25">
      <c r="B30" s="12" t="s">
        <v>7</v>
      </c>
      <c r="C30" s="9">
        <f>MIN(C5:C28)</f>
        <v>1406</v>
      </c>
      <c r="D30" s="10">
        <f>MIN(D5:D28)</f>
        <v>0</v>
      </c>
      <c r="E30" s="10">
        <f>MIN(E5:E28)</f>
        <v>0</v>
      </c>
    </row>
    <row r="31" spans="1:5" ht="15.6" x14ac:dyDescent="0.25">
      <c r="B31" s="13" t="s">
        <v>8</v>
      </c>
      <c r="C31" s="9">
        <f>AVERAGE(C5:C28)</f>
        <v>1427.875</v>
      </c>
      <c r="D31" s="10">
        <f>AVERAGE(D5:D28)</f>
        <v>18.75</v>
      </c>
      <c r="E31" s="10">
        <f>AVERAGE(E5:E28)</f>
        <v>218.75</v>
      </c>
    </row>
    <row r="32" spans="1:5" ht="15.75" customHeight="1" thickBot="1" x14ac:dyDescent="0.3">
      <c r="B32" s="14" t="s">
        <v>9</v>
      </c>
      <c r="C32" s="15">
        <f>SUM(C5:C28)</f>
        <v>34269</v>
      </c>
      <c r="D32" s="15">
        <f>SUM(D5:D28)</f>
        <v>450</v>
      </c>
      <c r="E32" s="15">
        <f>SUM(E5:E28)</f>
        <v>5250</v>
      </c>
    </row>
    <row r="33" spans="2:2" hidden="1" x14ac:dyDescent="0.25"/>
    <row r="34" spans="2:2" hidden="1" x14ac:dyDescent="0.25"/>
    <row r="35" spans="2:2" hidden="1" x14ac:dyDescent="0.25"/>
    <row r="36" spans="2:2" hidden="1" x14ac:dyDescent="0.25"/>
    <row r="37" spans="2:2" hidden="1" x14ac:dyDescent="0.25"/>
    <row r="38" spans="2:2" hidden="1" x14ac:dyDescent="0.25"/>
    <row r="41" spans="2:2" x14ac:dyDescent="0.25">
      <c r="B41" s="2" t="s">
        <v>10</v>
      </c>
    </row>
  </sheetData>
  <mergeCells count="2">
    <mergeCell ref="B1:E2"/>
    <mergeCell ref="C3:D3"/>
  </mergeCells>
  <pageMargins left="0.7" right="0.7" top="0.75" bottom="0.75" header="0.3" footer="0.3"/>
  <pageSetup orientation="portrait" r:id="rId1"/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EB020-F10B-430B-9529-D6B59B806523}">
  <sheetPr>
    <tabColor rgb="FFFFFF00"/>
  </sheetPr>
  <dimension ref="A1:E41"/>
  <sheetViews>
    <sheetView zoomScale="120" zoomScaleNormal="120" workbookViewId="0">
      <selection activeCell="D6" sqref="D6"/>
    </sheetView>
  </sheetViews>
  <sheetFormatPr baseColWidth="10" defaultColWidth="11.44140625" defaultRowHeight="13.2" x14ac:dyDescent="0.25"/>
  <cols>
    <col min="1" max="1" width="1.6640625" style="2" customWidth="1"/>
    <col min="2" max="2" width="11.44140625" style="2" customWidth="1"/>
    <col min="3" max="3" width="11.6640625" style="2" customWidth="1"/>
    <col min="4" max="4" width="22" style="2" customWidth="1"/>
    <col min="5" max="5" width="28.5546875" style="2" customWidth="1"/>
    <col min="6" max="16384" width="11.44140625" style="2"/>
  </cols>
  <sheetData>
    <row r="1" spans="1:5" s="1" customFormat="1" ht="12.75" customHeight="1" x14ac:dyDescent="0.3">
      <c r="B1" s="31" t="s">
        <v>12</v>
      </c>
      <c r="C1" s="32"/>
      <c r="D1" s="32"/>
      <c r="E1" s="32"/>
    </row>
    <row r="2" spans="1:5" ht="25.5" customHeight="1" thickBot="1" x14ac:dyDescent="0.3">
      <c r="B2" s="33"/>
      <c r="C2" s="34"/>
      <c r="D2" s="34"/>
      <c r="E2" s="34"/>
    </row>
    <row r="3" spans="1:5" x14ac:dyDescent="0.25">
      <c r="B3" s="11" t="s">
        <v>0</v>
      </c>
      <c r="C3" s="26">
        <v>46159</v>
      </c>
      <c r="D3" s="26"/>
      <c r="E3" s="18"/>
    </row>
    <row r="4" spans="1:5" ht="18" customHeight="1" x14ac:dyDescent="0.25">
      <c r="A4" s="2">
        <v>0</v>
      </c>
      <c r="B4" s="23" t="s">
        <v>1</v>
      </c>
      <c r="C4" s="24" t="s">
        <v>2</v>
      </c>
      <c r="D4" s="24" t="s">
        <v>13</v>
      </c>
      <c r="E4" s="25" t="s">
        <v>11</v>
      </c>
    </row>
    <row r="5" spans="1:5" x14ac:dyDescent="0.25">
      <c r="B5" s="4">
        <v>1</v>
      </c>
      <c r="C5" s="6">
        <v>1451</v>
      </c>
      <c r="D5" s="7">
        <v>0</v>
      </c>
      <c r="E5" s="17">
        <f>+D5</f>
        <v>0</v>
      </c>
    </row>
    <row r="6" spans="1:5" ht="11.25" customHeight="1" x14ac:dyDescent="0.25">
      <c r="B6" s="4">
        <v>2</v>
      </c>
      <c r="C6" s="6">
        <v>1451</v>
      </c>
      <c r="D6" s="7">
        <f>SUM(C6-C5)*10</f>
        <v>0</v>
      </c>
      <c r="E6" s="17">
        <f t="shared" ref="E6:E28" si="0">+D6+E5</f>
        <v>0</v>
      </c>
    </row>
    <row r="7" spans="1:5" ht="11.25" customHeight="1" x14ac:dyDescent="0.25">
      <c r="B7" s="4">
        <v>3</v>
      </c>
      <c r="C7" s="6">
        <v>1451</v>
      </c>
      <c r="D7" s="7">
        <f t="shared" ref="D7:D25" si="1">SUM(C7-C6)*10</f>
        <v>0</v>
      </c>
      <c r="E7" s="17">
        <f t="shared" si="0"/>
        <v>0</v>
      </c>
    </row>
    <row r="8" spans="1:5" ht="12" customHeight="1" x14ac:dyDescent="0.25">
      <c r="B8" s="4">
        <v>4</v>
      </c>
      <c r="C8" s="6">
        <v>1451</v>
      </c>
      <c r="D8" s="7">
        <f>SUM(C8-C7)*10</f>
        <v>0</v>
      </c>
      <c r="E8" s="17">
        <f>+D8+E7</f>
        <v>0</v>
      </c>
    </row>
    <row r="9" spans="1:5" x14ac:dyDescent="0.25">
      <c r="A9" s="2">
        <v>0</v>
      </c>
      <c r="B9" s="4">
        <v>5</v>
      </c>
      <c r="C9" s="6">
        <v>1453</v>
      </c>
      <c r="D9" s="7">
        <f t="shared" si="1"/>
        <v>20</v>
      </c>
      <c r="E9" s="17">
        <f t="shared" si="0"/>
        <v>20</v>
      </c>
    </row>
    <row r="10" spans="1:5" ht="15" customHeight="1" x14ac:dyDescent="0.25">
      <c r="A10" s="2" t="s">
        <v>3</v>
      </c>
      <c r="B10" s="4">
        <v>6</v>
      </c>
      <c r="C10" s="6">
        <v>1455</v>
      </c>
      <c r="D10" s="7">
        <f t="shared" si="1"/>
        <v>20</v>
      </c>
      <c r="E10" s="17">
        <f t="shared" si="0"/>
        <v>40</v>
      </c>
    </row>
    <row r="11" spans="1:5" ht="12" customHeight="1" x14ac:dyDescent="0.25">
      <c r="B11" s="4">
        <v>7</v>
      </c>
      <c r="C11" s="6">
        <v>1457</v>
      </c>
      <c r="D11" s="7">
        <f t="shared" si="1"/>
        <v>20</v>
      </c>
      <c r="E11" s="17">
        <f t="shared" si="0"/>
        <v>60</v>
      </c>
    </row>
    <row r="12" spans="1:5" ht="15.75" customHeight="1" x14ac:dyDescent="0.25">
      <c r="A12" s="2">
        <v>0</v>
      </c>
      <c r="B12" s="4">
        <v>8</v>
      </c>
      <c r="C12" s="6">
        <v>1459</v>
      </c>
      <c r="D12" s="7">
        <f t="shared" si="1"/>
        <v>20</v>
      </c>
      <c r="E12" s="17">
        <f t="shared" si="0"/>
        <v>80</v>
      </c>
    </row>
    <row r="13" spans="1:5" ht="12" customHeight="1" x14ac:dyDescent="0.25">
      <c r="B13" s="4">
        <v>9</v>
      </c>
      <c r="C13" s="6">
        <v>1462</v>
      </c>
      <c r="D13" s="7">
        <f t="shared" si="1"/>
        <v>30</v>
      </c>
      <c r="E13" s="17">
        <f t="shared" si="0"/>
        <v>110</v>
      </c>
    </row>
    <row r="14" spans="1:5" ht="14.25" customHeight="1" x14ac:dyDescent="0.25">
      <c r="B14" s="4">
        <v>10</v>
      </c>
      <c r="C14" s="6">
        <v>1466</v>
      </c>
      <c r="D14" s="7">
        <f t="shared" si="1"/>
        <v>40</v>
      </c>
      <c r="E14" s="17">
        <f t="shared" si="0"/>
        <v>150</v>
      </c>
    </row>
    <row r="15" spans="1:5" x14ac:dyDescent="0.25">
      <c r="B15" s="4">
        <v>11</v>
      </c>
      <c r="C15" s="6">
        <v>1470</v>
      </c>
      <c r="D15" s="7">
        <f t="shared" si="1"/>
        <v>40</v>
      </c>
      <c r="E15" s="17">
        <f t="shared" si="0"/>
        <v>190</v>
      </c>
    </row>
    <row r="16" spans="1:5" x14ac:dyDescent="0.25">
      <c r="A16" s="2">
        <v>0</v>
      </c>
      <c r="B16" s="4">
        <v>12</v>
      </c>
      <c r="C16" s="6">
        <v>1474</v>
      </c>
      <c r="D16" s="7">
        <f t="shared" si="1"/>
        <v>40</v>
      </c>
      <c r="E16" s="17">
        <f t="shared" si="0"/>
        <v>230</v>
      </c>
    </row>
    <row r="17" spans="1:5" x14ac:dyDescent="0.25">
      <c r="B17" s="4">
        <v>13</v>
      </c>
      <c r="C17" s="6">
        <v>1478</v>
      </c>
      <c r="D17" s="7">
        <f t="shared" si="1"/>
        <v>40</v>
      </c>
      <c r="E17" s="17">
        <f t="shared" si="0"/>
        <v>270</v>
      </c>
    </row>
    <row r="18" spans="1:5" ht="14.25" customHeight="1" x14ac:dyDescent="0.25">
      <c r="A18" s="3" t="s">
        <v>4</v>
      </c>
      <c r="B18" s="4">
        <v>14</v>
      </c>
      <c r="C18" s="6">
        <v>1482</v>
      </c>
      <c r="D18" s="7">
        <f t="shared" si="1"/>
        <v>40</v>
      </c>
      <c r="E18" s="17">
        <f t="shared" si="0"/>
        <v>310</v>
      </c>
    </row>
    <row r="19" spans="1:5" x14ac:dyDescent="0.25">
      <c r="B19" s="4">
        <v>15</v>
      </c>
      <c r="C19" s="6">
        <v>1486</v>
      </c>
      <c r="D19" s="7">
        <f t="shared" si="1"/>
        <v>40</v>
      </c>
      <c r="E19" s="17">
        <f t="shared" si="0"/>
        <v>350</v>
      </c>
    </row>
    <row r="20" spans="1:5" x14ac:dyDescent="0.25">
      <c r="A20" s="2">
        <v>0</v>
      </c>
      <c r="B20" s="4">
        <v>16</v>
      </c>
      <c r="C20" s="6">
        <v>1488</v>
      </c>
      <c r="D20" s="7">
        <f t="shared" si="1"/>
        <v>20</v>
      </c>
      <c r="E20" s="17">
        <f t="shared" si="0"/>
        <v>370</v>
      </c>
    </row>
    <row r="21" spans="1:5" x14ac:dyDescent="0.25">
      <c r="B21" s="4">
        <v>17</v>
      </c>
      <c r="C21" s="6">
        <v>1490</v>
      </c>
      <c r="D21" s="7">
        <f t="shared" si="1"/>
        <v>20</v>
      </c>
      <c r="E21" s="17">
        <f t="shared" si="0"/>
        <v>390</v>
      </c>
    </row>
    <row r="22" spans="1:5" x14ac:dyDescent="0.25">
      <c r="B22" s="4">
        <v>18</v>
      </c>
      <c r="C22" s="6">
        <v>1492</v>
      </c>
      <c r="D22" s="7">
        <f t="shared" si="1"/>
        <v>20</v>
      </c>
      <c r="E22" s="17">
        <f t="shared" si="0"/>
        <v>410</v>
      </c>
    </row>
    <row r="23" spans="1:5" x14ac:dyDescent="0.25">
      <c r="B23" s="4">
        <v>19</v>
      </c>
      <c r="C23" s="6">
        <v>1494</v>
      </c>
      <c r="D23" s="7">
        <f t="shared" si="1"/>
        <v>20</v>
      </c>
      <c r="E23" s="17">
        <f t="shared" si="0"/>
        <v>430</v>
      </c>
    </row>
    <row r="24" spans="1:5" x14ac:dyDescent="0.25">
      <c r="B24" s="4">
        <v>20</v>
      </c>
      <c r="C24" s="6">
        <v>1496</v>
      </c>
      <c r="D24" s="7">
        <f t="shared" si="1"/>
        <v>20</v>
      </c>
      <c r="E24" s="17">
        <f t="shared" si="0"/>
        <v>450</v>
      </c>
    </row>
    <row r="25" spans="1:5" x14ac:dyDescent="0.25">
      <c r="B25" s="4">
        <v>21</v>
      </c>
      <c r="C25" s="6">
        <v>1498</v>
      </c>
      <c r="D25" s="7">
        <f t="shared" si="1"/>
        <v>20</v>
      </c>
      <c r="E25" s="17">
        <f t="shared" si="0"/>
        <v>470</v>
      </c>
    </row>
    <row r="26" spans="1:5" x14ac:dyDescent="0.25">
      <c r="B26" s="4">
        <v>22</v>
      </c>
      <c r="C26" s="6">
        <v>1500</v>
      </c>
      <c r="D26" s="7">
        <f>SUM(C26-C25)*10</f>
        <v>20</v>
      </c>
      <c r="E26" s="17">
        <f t="shared" si="0"/>
        <v>490</v>
      </c>
    </row>
    <row r="27" spans="1:5" x14ac:dyDescent="0.25">
      <c r="A27" s="2" t="s">
        <v>5</v>
      </c>
      <c r="B27" s="4">
        <v>23</v>
      </c>
      <c r="C27" s="6">
        <v>1500</v>
      </c>
      <c r="D27" s="7">
        <f>SUM(C27-C26)*10</f>
        <v>0</v>
      </c>
      <c r="E27" s="17">
        <f t="shared" si="0"/>
        <v>490</v>
      </c>
    </row>
    <row r="28" spans="1:5" ht="12.75" customHeight="1" x14ac:dyDescent="0.25">
      <c r="B28" s="4">
        <v>24</v>
      </c>
      <c r="C28" s="6">
        <v>1500</v>
      </c>
      <c r="D28" s="7">
        <f>SUM(C28-C27)*10</f>
        <v>0</v>
      </c>
      <c r="E28" s="17">
        <f t="shared" si="0"/>
        <v>490</v>
      </c>
    </row>
    <row r="29" spans="1:5" ht="15.6" x14ac:dyDescent="0.25">
      <c r="B29" s="12" t="s">
        <v>6</v>
      </c>
      <c r="C29" s="9">
        <f>MAX(C5:C28)</f>
        <v>1500</v>
      </c>
      <c r="D29" s="10">
        <f>MAX(D5:D28)</f>
        <v>40</v>
      </c>
      <c r="E29" s="10">
        <f>MAX(E5:E28)</f>
        <v>490</v>
      </c>
    </row>
    <row r="30" spans="1:5" ht="15.6" x14ac:dyDescent="0.25">
      <c r="B30" s="12" t="s">
        <v>7</v>
      </c>
      <c r="C30" s="9">
        <f>MIN(C5:C28)</f>
        <v>1451</v>
      </c>
      <c r="D30" s="10">
        <f>MIN(D5:D28)</f>
        <v>0</v>
      </c>
      <c r="E30" s="10">
        <f>MIN(E5:E28)</f>
        <v>0</v>
      </c>
    </row>
    <row r="31" spans="1:5" ht="15.6" x14ac:dyDescent="0.25">
      <c r="B31" s="13" t="s">
        <v>8</v>
      </c>
      <c r="C31" s="9">
        <f>AVERAGE(C5:C28)</f>
        <v>1475.1666666666667</v>
      </c>
      <c r="D31" s="10">
        <f>AVERAGE(D5:D28)</f>
        <v>20.416666666666668</v>
      </c>
      <c r="E31" s="10">
        <f>AVERAGE(E5:E28)</f>
        <v>241.66666666666666</v>
      </c>
    </row>
    <row r="32" spans="1:5" ht="15.75" customHeight="1" thickBot="1" x14ac:dyDescent="0.3">
      <c r="B32" s="14" t="s">
        <v>9</v>
      </c>
      <c r="C32" s="15">
        <f>SUM(C5:C28)</f>
        <v>35404</v>
      </c>
      <c r="D32" s="15">
        <f>SUM(D5:D28)</f>
        <v>490</v>
      </c>
      <c r="E32" s="15">
        <f>SUM(E5:E28)</f>
        <v>5800</v>
      </c>
    </row>
    <row r="33" spans="2:2" hidden="1" x14ac:dyDescent="0.25"/>
    <row r="34" spans="2:2" hidden="1" x14ac:dyDescent="0.25"/>
    <row r="35" spans="2:2" hidden="1" x14ac:dyDescent="0.25"/>
    <row r="36" spans="2:2" hidden="1" x14ac:dyDescent="0.25"/>
    <row r="37" spans="2:2" hidden="1" x14ac:dyDescent="0.25"/>
    <row r="38" spans="2:2" hidden="1" x14ac:dyDescent="0.25"/>
    <row r="41" spans="2:2" x14ac:dyDescent="0.25">
      <c r="B41" s="2" t="s">
        <v>10</v>
      </c>
    </row>
  </sheetData>
  <mergeCells count="2">
    <mergeCell ref="B1:E2"/>
    <mergeCell ref="C3:D3"/>
  </mergeCells>
  <pageMargins left="0.7" right="0.7" top="0.75" bottom="0.75" header="0.3" footer="0.3"/>
  <pageSetup orientation="portrait" r:id="rId1"/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84D6-6C12-4795-A247-01755686586A}">
  <sheetPr>
    <tabColor rgb="FFFFFF00"/>
  </sheetPr>
  <dimension ref="A1:M41"/>
  <sheetViews>
    <sheetView zoomScale="120" zoomScaleNormal="120" workbookViewId="0">
      <selection activeCell="O20" sqref="O20"/>
    </sheetView>
  </sheetViews>
  <sheetFormatPr baseColWidth="10" defaultColWidth="11.44140625" defaultRowHeight="13.2" x14ac:dyDescent="0.25"/>
  <cols>
    <col min="1" max="1" width="1.6640625" style="2" customWidth="1"/>
    <col min="2" max="2" width="11.44140625" style="2" customWidth="1"/>
    <col min="3" max="3" width="11.6640625" style="2" customWidth="1"/>
    <col min="4" max="4" width="22" style="2" customWidth="1"/>
    <col min="5" max="5" width="28.5546875" style="2" customWidth="1"/>
    <col min="6" max="16384" width="11.44140625" style="2"/>
  </cols>
  <sheetData>
    <row r="1" spans="1:5" s="1" customFormat="1" ht="12.75" customHeight="1" x14ac:dyDescent="0.3">
      <c r="B1" s="31" t="s">
        <v>12</v>
      </c>
      <c r="C1" s="32"/>
      <c r="D1" s="32"/>
      <c r="E1" s="32"/>
    </row>
    <row r="2" spans="1:5" ht="25.5" customHeight="1" thickBot="1" x14ac:dyDescent="0.3">
      <c r="B2" s="33"/>
      <c r="C2" s="34"/>
      <c r="D2" s="34"/>
      <c r="E2" s="34"/>
    </row>
    <row r="3" spans="1:5" x14ac:dyDescent="0.25">
      <c r="B3" s="11" t="s">
        <v>0</v>
      </c>
      <c r="C3" s="26">
        <v>46159</v>
      </c>
      <c r="D3" s="26"/>
      <c r="E3" s="18"/>
    </row>
    <row r="4" spans="1:5" ht="18" customHeight="1" x14ac:dyDescent="0.25">
      <c r="A4" s="2">
        <v>0</v>
      </c>
      <c r="B4" s="23" t="s">
        <v>1</v>
      </c>
      <c r="C4" s="24" t="s">
        <v>2</v>
      </c>
      <c r="D4" s="24" t="s">
        <v>13</v>
      </c>
      <c r="E4" s="25" t="s">
        <v>11</v>
      </c>
    </row>
    <row r="5" spans="1:5" x14ac:dyDescent="0.25">
      <c r="B5" s="4">
        <v>1</v>
      </c>
      <c r="C5" s="6">
        <v>1500</v>
      </c>
      <c r="D5" s="7">
        <v>0</v>
      </c>
      <c r="E5" s="17">
        <f>+D5</f>
        <v>0</v>
      </c>
    </row>
    <row r="6" spans="1:5" ht="11.25" customHeight="1" x14ac:dyDescent="0.25">
      <c r="B6" s="4">
        <v>2</v>
      </c>
      <c r="C6" s="6">
        <v>1500</v>
      </c>
      <c r="D6" s="7">
        <f>SUM(C6-C5)*10</f>
        <v>0</v>
      </c>
      <c r="E6" s="17">
        <f t="shared" ref="E6:E28" si="0">+D6+E5</f>
        <v>0</v>
      </c>
    </row>
    <row r="7" spans="1:5" ht="11.25" customHeight="1" x14ac:dyDescent="0.25">
      <c r="B7" s="4">
        <v>3</v>
      </c>
      <c r="C7" s="6">
        <v>1500</v>
      </c>
      <c r="D7" s="7">
        <f t="shared" ref="D7:D25" si="1">SUM(C7-C6)*10</f>
        <v>0</v>
      </c>
      <c r="E7" s="17">
        <f t="shared" si="0"/>
        <v>0</v>
      </c>
    </row>
    <row r="8" spans="1:5" ht="12" customHeight="1" x14ac:dyDescent="0.25">
      <c r="B8" s="4">
        <v>4</v>
      </c>
      <c r="C8" s="6">
        <v>1500</v>
      </c>
      <c r="D8" s="7">
        <f>SUM(C8-C7)*10</f>
        <v>0</v>
      </c>
      <c r="E8" s="17">
        <f>+D8+E7</f>
        <v>0</v>
      </c>
    </row>
    <row r="9" spans="1:5" x14ac:dyDescent="0.25">
      <c r="A9" s="2">
        <v>0</v>
      </c>
      <c r="B9" s="4">
        <v>5</v>
      </c>
      <c r="C9" s="6">
        <v>1503</v>
      </c>
      <c r="D9" s="7">
        <f t="shared" si="1"/>
        <v>30</v>
      </c>
      <c r="E9" s="17">
        <f t="shared" si="0"/>
        <v>30</v>
      </c>
    </row>
    <row r="10" spans="1:5" ht="15" customHeight="1" x14ac:dyDescent="0.25">
      <c r="A10" s="2" t="s">
        <v>3</v>
      </c>
      <c r="B10" s="4">
        <v>6</v>
      </c>
      <c r="C10" s="6">
        <v>1506</v>
      </c>
      <c r="D10" s="7">
        <f t="shared" si="1"/>
        <v>30</v>
      </c>
      <c r="E10" s="17">
        <f t="shared" si="0"/>
        <v>60</v>
      </c>
    </row>
    <row r="11" spans="1:5" ht="12" customHeight="1" x14ac:dyDescent="0.25">
      <c r="B11" s="4">
        <v>7</v>
      </c>
      <c r="C11" s="6">
        <v>1509</v>
      </c>
      <c r="D11" s="7">
        <f t="shared" si="1"/>
        <v>30</v>
      </c>
      <c r="E11" s="17">
        <f t="shared" si="0"/>
        <v>90</v>
      </c>
    </row>
    <row r="12" spans="1:5" ht="15.75" customHeight="1" x14ac:dyDescent="0.25">
      <c r="A12" s="2">
        <v>0</v>
      </c>
      <c r="B12" s="4">
        <v>8</v>
      </c>
      <c r="C12" s="6">
        <v>1512</v>
      </c>
      <c r="D12" s="7">
        <f t="shared" si="1"/>
        <v>30</v>
      </c>
      <c r="E12" s="17">
        <f t="shared" si="0"/>
        <v>120</v>
      </c>
    </row>
    <row r="13" spans="1:5" ht="12" customHeight="1" x14ac:dyDescent="0.25">
      <c r="B13" s="4">
        <v>9</v>
      </c>
      <c r="C13" s="6">
        <v>1515</v>
      </c>
      <c r="D13" s="7">
        <f t="shared" si="1"/>
        <v>30</v>
      </c>
      <c r="E13" s="17">
        <f t="shared" si="0"/>
        <v>150</v>
      </c>
    </row>
    <row r="14" spans="1:5" ht="12.75" customHeight="1" x14ac:dyDescent="0.25">
      <c r="B14" s="4">
        <v>10</v>
      </c>
      <c r="C14" s="6">
        <v>1518</v>
      </c>
      <c r="D14" s="7">
        <f t="shared" si="1"/>
        <v>30</v>
      </c>
      <c r="E14" s="17">
        <f t="shared" si="0"/>
        <v>180</v>
      </c>
    </row>
    <row r="15" spans="1:5" ht="13.5" customHeight="1" x14ac:dyDescent="0.25">
      <c r="B15" s="4">
        <v>11</v>
      </c>
      <c r="C15" s="6">
        <v>1521</v>
      </c>
      <c r="D15" s="7">
        <f t="shared" si="1"/>
        <v>30</v>
      </c>
      <c r="E15" s="17">
        <f t="shared" si="0"/>
        <v>210</v>
      </c>
    </row>
    <row r="16" spans="1:5" x14ac:dyDescent="0.25">
      <c r="A16" s="2">
        <v>0</v>
      </c>
      <c r="B16" s="4">
        <v>12</v>
      </c>
      <c r="C16" s="6">
        <v>1524</v>
      </c>
      <c r="D16" s="7">
        <f t="shared" si="1"/>
        <v>30</v>
      </c>
      <c r="E16" s="17">
        <f t="shared" si="0"/>
        <v>240</v>
      </c>
    </row>
    <row r="17" spans="1:13" x14ac:dyDescent="0.25">
      <c r="B17" s="4">
        <v>13</v>
      </c>
      <c r="C17" s="6">
        <v>1527</v>
      </c>
      <c r="D17" s="7">
        <f t="shared" si="1"/>
        <v>30</v>
      </c>
      <c r="E17" s="17">
        <f t="shared" si="0"/>
        <v>270</v>
      </c>
    </row>
    <row r="18" spans="1:13" ht="14.25" customHeight="1" x14ac:dyDescent="0.25">
      <c r="A18" s="3" t="s">
        <v>4</v>
      </c>
      <c r="B18" s="4">
        <v>14</v>
      </c>
      <c r="C18" s="6">
        <v>1530</v>
      </c>
      <c r="D18" s="7">
        <f t="shared" si="1"/>
        <v>30</v>
      </c>
      <c r="E18" s="17">
        <f t="shared" si="0"/>
        <v>300</v>
      </c>
    </row>
    <row r="19" spans="1:13" x14ac:dyDescent="0.25">
      <c r="B19" s="4">
        <v>15</v>
      </c>
      <c r="C19" s="6">
        <v>1533</v>
      </c>
      <c r="D19" s="7">
        <f t="shared" si="1"/>
        <v>30</v>
      </c>
      <c r="E19" s="17">
        <f t="shared" si="0"/>
        <v>330</v>
      </c>
    </row>
    <row r="20" spans="1:13" x14ac:dyDescent="0.25">
      <c r="A20" s="2">
        <v>0</v>
      </c>
      <c r="B20" s="4">
        <v>16</v>
      </c>
      <c r="C20" s="6">
        <v>1536</v>
      </c>
      <c r="D20" s="7">
        <f t="shared" si="1"/>
        <v>30</v>
      </c>
      <c r="E20" s="17">
        <f t="shared" si="0"/>
        <v>360</v>
      </c>
    </row>
    <row r="21" spans="1:13" x14ac:dyDescent="0.25">
      <c r="B21" s="4">
        <v>17</v>
      </c>
      <c r="C21" s="6">
        <v>1539</v>
      </c>
      <c r="D21" s="7">
        <f t="shared" si="1"/>
        <v>30</v>
      </c>
      <c r="E21" s="17">
        <f t="shared" si="0"/>
        <v>390</v>
      </c>
    </row>
    <row r="22" spans="1:13" x14ac:dyDescent="0.25">
      <c r="B22" s="4">
        <v>18</v>
      </c>
      <c r="C22" s="6">
        <v>1542</v>
      </c>
      <c r="D22" s="7">
        <f t="shared" si="1"/>
        <v>30</v>
      </c>
      <c r="E22" s="17">
        <f t="shared" si="0"/>
        <v>420</v>
      </c>
    </row>
    <row r="23" spans="1:13" x14ac:dyDescent="0.25">
      <c r="B23" s="4">
        <v>19</v>
      </c>
      <c r="C23" s="6">
        <v>1545</v>
      </c>
      <c r="D23" s="7">
        <f t="shared" si="1"/>
        <v>30</v>
      </c>
      <c r="E23" s="17">
        <f t="shared" si="0"/>
        <v>450</v>
      </c>
    </row>
    <row r="24" spans="1:13" x14ac:dyDescent="0.25">
      <c r="B24" s="4">
        <v>20</v>
      </c>
      <c r="C24" s="6">
        <v>1548</v>
      </c>
      <c r="D24" s="7">
        <f t="shared" si="1"/>
        <v>30</v>
      </c>
      <c r="E24" s="17">
        <f t="shared" si="0"/>
        <v>480</v>
      </c>
    </row>
    <row r="25" spans="1:13" x14ac:dyDescent="0.25">
      <c r="B25" s="4">
        <v>21</v>
      </c>
      <c r="C25" s="6">
        <v>1551</v>
      </c>
      <c r="D25" s="7">
        <f t="shared" si="1"/>
        <v>30</v>
      </c>
      <c r="E25" s="17">
        <f t="shared" si="0"/>
        <v>510</v>
      </c>
    </row>
    <row r="26" spans="1:13" x14ac:dyDescent="0.25">
      <c r="B26" s="4">
        <v>22</v>
      </c>
      <c r="C26" s="6">
        <v>1553</v>
      </c>
      <c r="D26" s="7">
        <f>SUM(C26-C25)*10</f>
        <v>20</v>
      </c>
      <c r="E26" s="17">
        <f t="shared" si="0"/>
        <v>530</v>
      </c>
    </row>
    <row r="27" spans="1:13" x14ac:dyDescent="0.25">
      <c r="A27" s="2" t="s">
        <v>5</v>
      </c>
      <c r="B27" s="4">
        <v>23</v>
      </c>
      <c r="C27" s="6">
        <v>1553</v>
      </c>
      <c r="D27" s="7">
        <f>SUM(C27-C26)*10</f>
        <v>0</v>
      </c>
      <c r="E27" s="17">
        <f t="shared" si="0"/>
        <v>530</v>
      </c>
    </row>
    <row r="28" spans="1:13" ht="12.75" customHeight="1" x14ac:dyDescent="0.25">
      <c r="B28" s="4">
        <v>24</v>
      </c>
      <c r="C28" s="6">
        <v>1553</v>
      </c>
      <c r="D28" s="7">
        <f>SUM(C28-C27)*10</f>
        <v>0</v>
      </c>
      <c r="E28" s="17">
        <f t="shared" si="0"/>
        <v>530</v>
      </c>
      <c r="M28" s="2" t="s">
        <v>15</v>
      </c>
    </row>
    <row r="29" spans="1:13" ht="15.6" x14ac:dyDescent="0.25">
      <c r="B29" s="12" t="s">
        <v>6</v>
      </c>
      <c r="C29" s="9">
        <f>MAX(C5:C28)</f>
        <v>1553</v>
      </c>
      <c r="D29" s="10">
        <f>MAX(D5:D28)</f>
        <v>30</v>
      </c>
      <c r="E29" s="10">
        <f>MAX(E5:E28)</f>
        <v>530</v>
      </c>
    </row>
    <row r="30" spans="1:13" ht="15.6" x14ac:dyDescent="0.25">
      <c r="B30" s="12" t="s">
        <v>7</v>
      </c>
      <c r="C30" s="9">
        <f>MIN(C5:C28)</f>
        <v>1500</v>
      </c>
      <c r="D30" s="10">
        <f>MIN(D5:D28)</f>
        <v>0</v>
      </c>
      <c r="E30" s="10">
        <f>MIN(E5:E28)</f>
        <v>0</v>
      </c>
    </row>
    <row r="31" spans="1:13" ht="15.6" x14ac:dyDescent="0.25">
      <c r="B31" s="13" t="s">
        <v>8</v>
      </c>
      <c r="C31" s="9">
        <f>AVERAGE(C5:C28)</f>
        <v>1525.75</v>
      </c>
      <c r="D31" s="10">
        <f>AVERAGE(D5:D28)</f>
        <v>22.083333333333332</v>
      </c>
      <c r="E31" s="10">
        <f>AVERAGE(E5:E28)</f>
        <v>257.5</v>
      </c>
    </row>
    <row r="32" spans="1:13" ht="15.75" customHeight="1" thickBot="1" x14ac:dyDescent="0.3">
      <c r="B32" s="14" t="s">
        <v>9</v>
      </c>
      <c r="C32" s="15">
        <f>SUM(C5:C28)</f>
        <v>36618</v>
      </c>
      <c r="D32" s="15">
        <f>SUM(D5:D28)</f>
        <v>530</v>
      </c>
      <c r="E32" s="15">
        <f>SUM(E5:E28)</f>
        <v>6180</v>
      </c>
    </row>
    <row r="33" spans="2:2" hidden="1" x14ac:dyDescent="0.25"/>
    <row r="34" spans="2:2" hidden="1" x14ac:dyDescent="0.25"/>
    <row r="35" spans="2:2" hidden="1" x14ac:dyDescent="0.25"/>
    <row r="36" spans="2:2" hidden="1" x14ac:dyDescent="0.25"/>
    <row r="37" spans="2:2" hidden="1" x14ac:dyDescent="0.25"/>
    <row r="38" spans="2:2" hidden="1" x14ac:dyDescent="0.25"/>
    <row r="41" spans="2:2" x14ac:dyDescent="0.25">
      <c r="B41" s="2" t="s">
        <v>10</v>
      </c>
    </row>
  </sheetData>
  <mergeCells count="2">
    <mergeCell ref="B1:E2"/>
    <mergeCell ref="C3:D3"/>
  </mergeCells>
  <pageMargins left="0.7" right="0.7" top="0.75" bottom="0.75" header="0.3" footer="0.3"/>
  <pageSetup orientation="portrait" r:id="rId1"/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9655C-E903-4D64-B08D-076D8320F07A}">
  <sheetPr>
    <tabColor rgb="FFFFFF00"/>
  </sheetPr>
  <dimension ref="A1:M41"/>
  <sheetViews>
    <sheetView topLeftCell="A2" zoomScale="130" zoomScaleNormal="130" workbookViewId="0">
      <selection activeCell="D6" sqref="D6"/>
    </sheetView>
  </sheetViews>
  <sheetFormatPr baseColWidth="10" defaultColWidth="11.44140625" defaultRowHeight="13.2" x14ac:dyDescent="0.25"/>
  <cols>
    <col min="1" max="1" width="1.6640625" style="2" customWidth="1"/>
    <col min="2" max="2" width="11.44140625" style="2" customWidth="1"/>
    <col min="3" max="3" width="11.6640625" style="2" customWidth="1"/>
    <col min="4" max="4" width="22" style="2" customWidth="1"/>
    <col min="5" max="5" width="28.5546875" style="2" customWidth="1"/>
    <col min="6" max="16384" width="11.44140625" style="2"/>
  </cols>
  <sheetData>
    <row r="1" spans="1:5" s="1" customFormat="1" ht="12.75" customHeight="1" x14ac:dyDescent="0.3">
      <c r="B1" s="31" t="s">
        <v>12</v>
      </c>
      <c r="C1" s="32"/>
      <c r="D1" s="32"/>
      <c r="E1" s="32"/>
    </row>
    <row r="2" spans="1:5" ht="25.5" customHeight="1" thickBot="1" x14ac:dyDescent="0.3">
      <c r="B2" s="33"/>
      <c r="C2" s="34"/>
      <c r="D2" s="34"/>
      <c r="E2" s="34"/>
    </row>
    <row r="3" spans="1:5" x14ac:dyDescent="0.25">
      <c r="B3" s="11" t="s">
        <v>0</v>
      </c>
      <c r="C3" s="26">
        <v>46159</v>
      </c>
      <c r="D3" s="26"/>
      <c r="E3" s="18"/>
    </row>
    <row r="4" spans="1:5" ht="18" customHeight="1" x14ac:dyDescent="0.25">
      <c r="A4" s="2">
        <v>0</v>
      </c>
      <c r="B4" s="23" t="s">
        <v>1</v>
      </c>
      <c r="C4" s="24" t="s">
        <v>2</v>
      </c>
      <c r="D4" s="24" t="s">
        <v>13</v>
      </c>
      <c r="E4" s="25" t="s">
        <v>11</v>
      </c>
    </row>
    <row r="5" spans="1:5" x14ac:dyDescent="0.25">
      <c r="B5" s="4">
        <v>1</v>
      </c>
      <c r="C5" s="6">
        <v>1553</v>
      </c>
      <c r="D5" s="7">
        <v>0</v>
      </c>
      <c r="E5" s="17">
        <f>+D5</f>
        <v>0</v>
      </c>
    </row>
    <row r="6" spans="1:5" ht="11.25" customHeight="1" x14ac:dyDescent="0.25">
      <c r="B6" s="4">
        <v>2</v>
      </c>
      <c r="C6" s="6">
        <v>1553</v>
      </c>
      <c r="D6" s="7">
        <f>SUM(C6-C5)*10</f>
        <v>0</v>
      </c>
      <c r="E6" s="17">
        <f t="shared" ref="E6:E28" si="0">+D6+E5</f>
        <v>0</v>
      </c>
    </row>
    <row r="7" spans="1:5" ht="11.25" customHeight="1" x14ac:dyDescent="0.25">
      <c r="B7" s="4">
        <v>3</v>
      </c>
      <c r="C7" s="6">
        <v>1553</v>
      </c>
      <c r="D7" s="7">
        <f t="shared" ref="D7:D25" si="1">SUM(C7-C6)*10</f>
        <v>0</v>
      </c>
      <c r="E7" s="17">
        <f t="shared" si="0"/>
        <v>0</v>
      </c>
    </row>
    <row r="8" spans="1:5" ht="12" customHeight="1" x14ac:dyDescent="0.25">
      <c r="B8" s="4">
        <v>4</v>
      </c>
      <c r="C8" s="6">
        <v>1553</v>
      </c>
      <c r="D8" s="7">
        <f>SUM(C8-C7)*10</f>
        <v>0</v>
      </c>
      <c r="E8" s="17">
        <f>+D8+E7</f>
        <v>0</v>
      </c>
    </row>
    <row r="9" spans="1:5" x14ac:dyDescent="0.25">
      <c r="A9" s="2">
        <v>0</v>
      </c>
      <c r="B9" s="4">
        <v>5</v>
      </c>
      <c r="C9" s="6">
        <v>1556</v>
      </c>
      <c r="D9" s="7">
        <f t="shared" si="1"/>
        <v>30</v>
      </c>
      <c r="E9" s="17">
        <f t="shared" si="0"/>
        <v>30</v>
      </c>
    </row>
    <row r="10" spans="1:5" ht="15" customHeight="1" x14ac:dyDescent="0.25">
      <c r="A10" s="2" t="s">
        <v>3</v>
      </c>
      <c r="B10" s="4">
        <v>6</v>
      </c>
      <c r="C10" s="6">
        <v>1559</v>
      </c>
      <c r="D10" s="7">
        <f t="shared" si="1"/>
        <v>30</v>
      </c>
      <c r="E10" s="17">
        <f t="shared" si="0"/>
        <v>60</v>
      </c>
    </row>
    <row r="11" spans="1:5" ht="12" customHeight="1" x14ac:dyDescent="0.25">
      <c r="B11" s="4">
        <v>7</v>
      </c>
      <c r="C11" s="6">
        <v>1562</v>
      </c>
      <c r="D11" s="7">
        <f t="shared" si="1"/>
        <v>30</v>
      </c>
      <c r="E11" s="17">
        <f t="shared" si="0"/>
        <v>90</v>
      </c>
    </row>
    <row r="12" spans="1:5" ht="15.75" customHeight="1" x14ac:dyDescent="0.25">
      <c r="A12" s="2">
        <v>0</v>
      </c>
      <c r="B12" s="4">
        <v>8</v>
      </c>
      <c r="C12" s="6">
        <v>1564</v>
      </c>
      <c r="D12" s="7">
        <f t="shared" si="1"/>
        <v>20</v>
      </c>
      <c r="E12" s="17">
        <f t="shared" si="0"/>
        <v>110</v>
      </c>
    </row>
    <row r="13" spans="1:5" ht="12" customHeight="1" x14ac:dyDescent="0.25">
      <c r="B13" s="4">
        <v>9</v>
      </c>
      <c r="C13" s="6">
        <v>1566</v>
      </c>
      <c r="D13" s="7">
        <f t="shared" si="1"/>
        <v>20</v>
      </c>
      <c r="E13" s="17">
        <f t="shared" si="0"/>
        <v>130</v>
      </c>
    </row>
    <row r="14" spans="1:5" ht="12.75" customHeight="1" x14ac:dyDescent="0.25">
      <c r="B14" s="4">
        <v>10</v>
      </c>
      <c r="C14" s="6">
        <v>1569</v>
      </c>
      <c r="D14" s="7">
        <f t="shared" si="1"/>
        <v>30</v>
      </c>
      <c r="E14" s="17">
        <f t="shared" si="0"/>
        <v>160</v>
      </c>
    </row>
    <row r="15" spans="1:5" ht="13.5" customHeight="1" x14ac:dyDescent="0.25">
      <c r="B15" s="4">
        <v>11</v>
      </c>
      <c r="C15" s="6">
        <v>1572</v>
      </c>
      <c r="D15" s="7">
        <f t="shared" si="1"/>
        <v>30</v>
      </c>
      <c r="E15" s="17">
        <f t="shared" si="0"/>
        <v>190</v>
      </c>
    </row>
    <row r="16" spans="1:5" x14ac:dyDescent="0.25">
      <c r="A16" s="2">
        <v>0</v>
      </c>
      <c r="B16" s="4">
        <v>12</v>
      </c>
      <c r="C16" s="6">
        <v>1575</v>
      </c>
      <c r="D16" s="7">
        <f t="shared" si="1"/>
        <v>30</v>
      </c>
      <c r="E16" s="17">
        <f t="shared" si="0"/>
        <v>220</v>
      </c>
    </row>
    <row r="17" spans="1:13" x14ac:dyDescent="0.25">
      <c r="B17" s="4">
        <v>13</v>
      </c>
      <c r="C17" s="6">
        <v>1578</v>
      </c>
      <c r="D17" s="7">
        <f t="shared" si="1"/>
        <v>30</v>
      </c>
      <c r="E17" s="17">
        <f t="shared" si="0"/>
        <v>250</v>
      </c>
    </row>
    <row r="18" spans="1:13" ht="14.25" customHeight="1" x14ac:dyDescent="0.25">
      <c r="A18" s="3" t="s">
        <v>4</v>
      </c>
      <c r="B18" s="4">
        <v>14</v>
      </c>
      <c r="C18" s="6">
        <v>1580</v>
      </c>
      <c r="D18" s="7">
        <f t="shared" si="1"/>
        <v>20</v>
      </c>
      <c r="E18" s="17">
        <f t="shared" si="0"/>
        <v>270</v>
      </c>
    </row>
    <row r="19" spans="1:13" x14ac:dyDescent="0.25">
      <c r="B19" s="4">
        <v>15</v>
      </c>
      <c r="C19" s="6">
        <v>1582</v>
      </c>
      <c r="D19" s="7">
        <f t="shared" si="1"/>
        <v>20</v>
      </c>
      <c r="E19" s="17">
        <f t="shared" si="0"/>
        <v>290</v>
      </c>
    </row>
    <row r="20" spans="1:13" x14ac:dyDescent="0.25">
      <c r="A20" s="2">
        <v>0</v>
      </c>
      <c r="B20" s="4">
        <v>16</v>
      </c>
      <c r="C20" s="6">
        <v>1584</v>
      </c>
      <c r="D20" s="7">
        <f t="shared" si="1"/>
        <v>20</v>
      </c>
      <c r="E20" s="17">
        <f t="shared" si="0"/>
        <v>310</v>
      </c>
    </row>
    <row r="21" spans="1:13" x14ac:dyDescent="0.25">
      <c r="B21" s="4">
        <v>17</v>
      </c>
      <c r="C21" s="6">
        <v>1586</v>
      </c>
      <c r="D21" s="7">
        <f t="shared" si="1"/>
        <v>20</v>
      </c>
      <c r="E21" s="17">
        <f t="shared" si="0"/>
        <v>330</v>
      </c>
    </row>
    <row r="22" spans="1:13" x14ac:dyDescent="0.25">
      <c r="B22" s="4">
        <v>18</v>
      </c>
      <c r="C22" s="6">
        <v>1588</v>
      </c>
      <c r="D22" s="7">
        <f t="shared" si="1"/>
        <v>20</v>
      </c>
      <c r="E22" s="17">
        <f t="shared" si="0"/>
        <v>350</v>
      </c>
    </row>
    <row r="23" spans="1:13" x14ac:dyDescent="0.25">
      <c r="B23" s="4">
        <v>19</v>
      </c>
      <c r="C23" s="6">
        <v>1590</v>
      </c>
      <c r="D23" s="7">
        <f t="shared" si="1"/>
        <v>20</v>
      </c>
      <c r="E23" s="17">
        <f t="shared" si="0"/>
        <v>370</v>
      </c>
    </row>
    <row r="24" spans="1:13" x14ac:dyDescent="0.25">
      <c r="B24" s="4">
        <v>20</v>
      </c>
      <c r="C24" s="6">
        <v>1592</v>
      </c>
      <c r="D24" s="7">
        <f t="shared" si="1"/>
        <v>20</v>
      </c>
      <c r="E24" s="17">
        <f t="shared" si="0"/>
        <v>390</v>
      </c>
    </row>
    <row r="25" spans="1:13" x14ac:dyDescent="0.25">
      <c r="B25" s="4">
        <v>21</v>
      </c>
      <c r="C25" s="6">
        <v>1594</v>
      </c>
      <c r="D25" s="7">
        <f t="shared" si="1"/>
        <v>20</v>
      </c>
      <c r="E25" s="17">
        <f t="shared" si="0"/>
        <v>410</v>
      </c>
    </row>
    <row r="26" spans="1:13" x14ac:dyDescent="0.25">
      <c r="B26" s="4">
        <v>22</v>
      </c>
      <c r="C26" s="6">
        <v>1596</v>
      </c>
      <c r="D26" s="7">
        <f>SUM(C26-C25)*10</f>
        <v>20</v>
      </c>
      <c r="E26" s="17">
        <f t="shared" si="0"/>
        <v>430</v>
      </c>
    </row>
    <row r="27" spans="1:13" x14ac:dyDescent="0.25">
      <c r="A27" s="2" t="s">
        <v>5</v>
      </c>
      <c r="B27" s="4">
        <v>23</v>
      </c>
      <c r="C27" s="6">
        <v>1596</v>
      </c>
      <c r="D27" s="7">
        <f>SUM(C27-C26)*10</f>
        <v>0</v>
      </c>
      <c r="E27" s="17">
        <f t="shared" si="0"/>
        <v>430</v>
      </c>
    </row>
    <row r="28" spans="1:13" ht="12.75" customHeight="1" x14ac:dyDescent="0.25">
      <c r="B28" s="4">
        <v>24</v>
      </c>
      <c r="C28" s="6">
        <v>1596</v>
      </c>
      <c r="D28" s="7">
        <f>SUM(C28-C27)*10</f>
        <v>0</v>
      </c>
      <c r="E28" s="17">
        <f t="shared" si="0"/>
        <v>430</v>
      </c>
      <c r="M28" s="2" t="s">
        <v>15</v>
      </c>
    </row>
    <row r="29" spans="1:13" ht="15.6" x14ac:dyDescent="0.25">
      <c r="B29" s="12" t="s">
        <v>6</v>
      </c>
      <c r="C29" s="9">
        <f>MAX(C5:C28)</f>
        <v>1596</v>
      </c>
      <c r="D29" s="10">
        <f>MAX(D5:D28)</f>
        <v>30</v>
      </c>
      <c r="E29" s="10">
        <f>MAX(E5:E28)</f>
        <v>430</v>
      </c>
    </row>
    <row r="30" spans="1:13" ht="15.6" x14ac:dyDescent="0.25">
      <c r="B30" s="12" t="s">
        <v>7</v>
      </c>
      <c r="C30" s="9">
        <f>MIN(C5:C28)</f>
        <v>1553</v>
      </c>
      <c r="D30" s="10">
        <f>MIN(D5:D28)</f>
        <v>0</v>
      </c>
      <c r="E30" s="10">
        <f>MIN(E5:E28)</f>
        <v>0</v>
      </c>
    </row>
    <row r="31" spans="1:13" ht="15.6" x14ac:dyDescent="0.25">
      <c r="B31" s="13" t="s">
        <v>8</v>
      </c>
      <c r="C31" s="9">
        <f>AVERAGE(C5:C28)</f>
        <v>1574.875</v>
      </c>
      <c r="D31" s="10">
        <f>AVERAGE(D5:D28)</f>
        <v>17.916666666666668</v>
      </c>
      <c r="E31" s="10">
        <f>AVERAGE(E5:E28)</f>
        <v>218.75</v>
      </c>
    </row>
    <row r="32" spans="1:13" ht="15.75" customHeight="1" thickBot="1" x14ac:dyDescent="0.3">
      <c r="B32" s="14" t="s">
        <v>9</v>
      </c>
      <c r="C32" s="15">
        <f>SUM(C5:C28)</f>
        <v>37797</v>
      </c>
      <c r="D32" s="15">
        <f>SUM(D5:D28)</f>
        <v>430</v>
      </c>
      <c r="E32" s="15">
        <f>SUM(E5:E28)</f>
        <v>5250</v>
      </c>
    </row>
    <row r="33" spans="2:2" hidden="1" x14ac:dyDescent="0.25"/>
    <row r="34" spans="2:2" hidden="1" x14ac:dyDescent="0.25"/>
    <row r="35" spans="2:2" hidden="1" x14ac:dyDescent="0.25"/>
    <row r="36" spans="2:2" hidden="1" x14ac:dyDescent="0.25"/>
    <row r="37" spans="2:2" hidden="1" x14ac:dyDescent="0.25"/>
    <row r="38" spans="2:2" hidden="1" x14ac:dyDescent="0.25"/>
    <row r="41" spans="2:2" x14ac:dyDescent="0.25">
      <c r="B41" s="2" t="s">
        <v>10</v>
      </c>
    </row>
  </sheetData>
  <mergeCells count="2">
    <mergeCell ref="B1:E2"/>
    <mergeCell ref="C3:D3"/>
  </mergeCells>
  <pageMargins left="0.7" right="0.7" top="0.75" bottom="0.75" header="0.3" footer="0.3"/>
  <pageSetup orientation="portrait" r:id="rId1"/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935CF-A11B-4832-861B-A0762D772747}">
  <sheetPr>
    <tabColor rgb="FFFFFF00"/>
  </sheetPr>
  <dimension ref="A1:M41"/>
  <sheetViews>
    <sheetView tabSelected="1" zoomScale="120" zoomScaleNormal="120" workbookViewId="0">
      <selection activeCell="D6" sqref="D6"/>
    </sheetView>
  </sheetViews>
  <sheetFormatPr baseColWidth="10" defaultColWidth="11.44140625" defaultRowHeight="13.2" x14ac:dyDescent="0.25"/>
  <cols>
    <col min="1" max="1" width="1.6640625" style="2" customWidth="1"/>
    <col min="2" max="2" width="11.44140625" style="2" customWidth="1"/>
    <col min="3" max="3" width="11.6640625" style="2" customWidth="1"/>
    <col min="4" max="4" width="22" style="2" customWidth="1"/>
    <col min="5" max="5" width="28.5546875" style="2" customWidth="1"/>
    <col min="6" max="16384" width="11.44140625" style="2"/>
  </cols>
  <sheetData>
    <row r="1" spans="1:5" s="1" customFormat="1" ht="12.75" customHeight="1" x14ac:dyDescent="0.3">
      <c r="B1" s="31" t="s">
        <v>12</v>
      </c>
      <c r="C1" s="32"/>
      <c r="D1" s="32"/>
      <c r="E1" s="32"/>
    </row>
    <row r="2" spans="1:5" ht="25.5" customHeight="1" thickBot="1" x14ac:dyDescent="0.3">
      <c r="B2" s="33"/>
      <c r="C2" s="34"/>
      <c r="D2" s="34"/>
      <c r="E2" s="34"/>
    </row>
    <row r="3" spans="1:5" x14ac:dyDescent="0.25">
      <c r="B3" s="11" t="s">
        <v>0</v>
      </c>
      <c r="C3" s="26">
        <v>46159</v>
      </c>
      <c r="D3" s="26"/>
      <c r="E3" s="18"/>
    </row>
    <row r="4" spans="1:5" ht="18" customHeight="1" x14ac:dyDescent="0.25">
      <c r="A4" s="2">
        <v>0</v>
      </c>
      <c r="B4" s="23" t="s">
        <v>1</v>
      </c>
      <c r="C4" s="24" t="s">
        <v>2</v>
      </c>
      <c r="D4" s="24" t="s">
        <v>13</v>
      </c>
      <c r="E4" s="25" t="s">
        <v>11</v>
      </c>
    </row>
    <row r="5" spans="1:5" x14ac:dyDescent="0.25">
      <c r="B5" s="4">
        <v>1</v>
      </c>
      <c r="C5" s="6">
        <v>1596</v>
      </c>
      <c r="D5" s="7">
        <v>0</v>
      </c>
      <c r="E5" s="17">
        <f>+D5</f>
        <v>0</v>
      </c>
    </row>
    <row r="6" spans="1:5" ht="11.25" customHeight="1" x14ac:dyDescent="0.25">
      <c r="B6" s="4">
        <v>2</v>
      </c>
      <c r="C6" s="6">
        <v>1596</v>
      </c>
      <c r="D6" s="7">
        <f>SUM(C6-C5)*10</f>
        <v>0</v>
      </c>
      <c r="E6" s="17">
        <f t="shared" ref="E6:E28" si="0">+D6+E5</f>
        <v>0</v>
      </c>
    </row>
    <row r="7" spans="1:5" ht="11.25" customHeight="1" x14ac:dyDescent="0.25">
      <c r="B7" s="4">
        <v>3</v>
      </c>
      <c r="C7" s="6">
        <v>1596</v>
      </c>
      <c r="D7" s="7">
        <f t="shared" ref="D7:D25" si="1">SUM(C7-C6)*10</f>
        <v>0</v>
      </c>
      <c r="E7" s="17">
        <f t="shared" si="0"/>
        <v>0</v>
      </c>
    </row>
    <row r="8" spans="1:5" ht="12" customHeight="1" x14ac:dyDescent="0.25">
      <c r="B8" s="4">
        <v>4</v>
      </c>
      <c r="C8" s="6">
        <v>1596</v>
      </c>
      <c r="D8" s="7">
        <f>SUM(C8-C7)*10</f>
        <v>0</v>
      </c>
      <c r="E8" s="17">
        <f>+D8+E7</f>
        <v>0</v>
      </c>
    </row>
    <row r="9" spans="1:5" x14ac:dyDescent="0.25">
      <c r="A9" s="2">
        <v>0</v>
      </c>
      <c r="B9" s="4">
        <v>5</v>
      </c>
      <c r="C9" s="6">
        <v>1599</v>
      </c>
      <c r="D9" s="7">
        <f t="shared" si="1"/>
        <v>30</v>
      </c>
      <c r="E9" s="17">
        <f t="shared" si="0"/>
        <v>30</v>
      </c>
    </row>
    <row r="10" spans="1:5" ht="15" customHeight="1" x14ac:dyDescent="0.25">
      <c r="A10" s="2" t="s">
        <v>3</v>
      </c>
      <c r="B10" s="4">
        <v>6</v>
      </c>
      <c r="C10" s="6">
        <v>1602</v>
      </c>
      <c r="D10" s="7">
        <f t="shared" si="1"/>
        <v>30</v>
      </c>
      <c r="E10" s="17">
        <f t="shared" si="0"/>
        <v>60</v>
      </c>
    </row>
    <row r="11" spans="1:5" ht="12" customHeight="1" x14ac:dyDescent="0.25">
      <c r="B11" s="4">
        <v>7</v>
      </c>
      <c r="C11" s="6">
        <v>1605</v>
      </c>
      <c r="D11" s="7">
        <f t="shared" si="1"/>
        <v>30</v>
      </c>
      <c r="E11" s="17">
        <f t="shared" si="0"/>
        <v>90</v>
      </c>
    </row>
    <row r="12" spans="1:5" ht="15.75" customHeight="1" x14ac:dyDescent="0.25">
      <c r="A12" s="2">
        <v>0</v>
      </c>
      <c r="B12" s="4">
        <v>8</v>
      </c>
      <c r="C12" s="6">
        <v>1608</v>
      </c>
      <c r="D12" s="7">
        <f t="shared" si="1"/>
        <v>30</v>
      </c>
      <c r="E12" s="17">
        <f t="shared" si="0"/>
        <v>120</v>
      </c>
    </row>
    <row r="13" spans="1:5" ht="12" customHeight="1" x14ac:dyDescent="0.25">
      <c r="B13" s="4">
        <v>9</v>
      </c>
      <c r="C13" s="6">
        <v>1610</v>
      </c>
      <c r="D13" s="7">
        <f t="shared" si="1"/>
        <v>20</v>
      </c>
      <c r="E13" s="17">
        <f t="shared" si="0"/>
        <v>140</v>
      </c>
    </row>
    <row r="14" spans="1:5" ht="12.75" customHeight="1" x14ac:dyDescent="0.25">
      <c r="B14" s="4">
        <v>10</v>
      </c>
      <c r="C14" s="6">
        <v>1612</v>
      </c>
      <c r="D14" s="7">
        <f t="shared" si="1"/>
        <v>20</v>
      </c>
      <c r="E14" s="17">
        <f t="shared" si="0"/>
        <v>160</v>
      </c>
    </row>
    <row r="15" spans="1:5" ht="13.5" customHeight="1" x14ac:dyDescent="0.25">
      <c r="B15" s="4">
        <v>11</v>
      </c>
      <c r="C15" s="6">
        <v>1615</v>
      </c>
      <c r="D15" s="7">
        <f t="shared" si="1"/>
        <v>30</v>
      </c>
      <c r="E15" s="17">
        <f t="shared" si="0"/>
        <v>190</v>
      </c>
    </row>
    <row r="16" spans="1:5" x14ac:dyDescent="0.25">
      <c r="A16" s="2">
        <v>0</v>
      </c>
      <c r="B16" s="4">
        <v>12</v>
      </c>
      <c r="C16" s="6">
        <v>1618</v>
      </c>
      <c r="D16" s="7">
        <f t="shared" si="1"/>
        <v>30</v>
      </c>
      <c r="E16" s="17">
        <f t="shared" si="0"/>
        <v>220</v>
      </c>
    </row>
    <row r="17" spans="1:13" x14ac:dyDescent="0.25">
      <c r="B17" s="4">
        <v>13</v>
      </c>
      <c r="C17" s="6">
        <v>1620</v>
      </c>
      <c r="D17" s="7">
        <f t="shared" si="1"/>
        <v>20</v>
      </c>
      <c r="E17" s="17">
        <f t="shared" si="0"/>
        <v>240</v>
      </c>
    </row>
    <row r="18" spans="1:13" ht="14.25" customHeight="1" x14ac:dyDescent="0.25">
      <c r="A18" s="3" t="s">
        <v>4</v>
      </c>
      <c r="B18" s="4">
        <v>14</v>
      </c>
      <c r="C18" s="6">
        <v>1623</v>
      </c>
      <c r="D18" s="7">
        <f t="shared" si="1"/>
        <v>30</v>
      </c>
      <c r="E18" s="17">
        <f t="shared" si="0"/>
        <v>270</v>
      </c>
    </row>
    <row r="19" spans="1:13" x14ac:dyDescent="0.25">
      <c r="B19" s="4">
        <v>15</v>
      </c>
      <c r="C19" s="6">
        <v>1626</v>
      </c>
      <c r="D19" s="7">
        <f t="shared" si="1"/>
        <v>30</v>
      </c>
      <c r="E19" s="17">
        <f t="shared" si="0"/>
        <v>300</v>
      </c>
    </row>
    <row r="20" spans="1:13" x14ac:dyDescent="0.25">
      <c r="A20" s="2">
        <v>0</v>
      </c>
      <c r="B20" s="4">
        <v>16</v>
      </c>
      <c r="C20" s="6">
        <v>1629</v>
      </c>
      <c r="D20" s="7">
        <f t="shared" si="1"/>
        <v>30</v>
      </c>
      <c r="E20" s="17">
        <f t="shared" si="0"/>
        <v>330</v>
      </c>
    </row>
    <row r="21" spans="1:13" x14ac:dyDescent="0.25">
      <c r="B21" s="4">
        <v>17</v>
      </c>
      <c r="C21" s="6">
        <v>1631</v>
      </c>
      <c r="D21" s="7">
        <f t="shared" si="1"/>
        <v>20</v>
      </c>
      <c r="E21" s="17">
        <f t="shared" si="0"/>
        <v>350</v>
      </c>
    </row>
    <row r="22" spans="1:13" x14ac:dyDescent="0.25">
      <c r="B22" s="4">
        <v>18</v>
      </c>
      <c r="C22" s="6">
        <v>1633</v>
      </c>
      <c r="D22" s="7">
        <f t="shared" si="1"/>
        <v>20</v>
      </c>
      <c r="E22" s="17">
        <f t="shared" si="0"/>
        <v>370</v>
      </c>
    </row>
    <row r="23" spans="1:13" x14ac:dyDescent="0.25">
      <c r="B23" s="4">
        <v>19</v>
      </c>
      <c r="C23" s="6"/>
      <c r="D23" s="7">
        <v>0</v>
      </c>
      <c r="E23" s="17">
        <f t="shared" si="0"/>
        <v>370</v>
      </c>
    </row>
    <row r="24" spans="1:13" x14ac:dyDescent="0.25">
      <c r="B24" s="4">
        <v>20</v>
      </c>
      <c r="C24" s="6"/>
      <c r="D24" s="7">
        <f t="shared" si="1"/>
        <v>0</v>
      </c>
      <c r="E24" s="17">
        <f t="shared" si="0"/>
        <v>370</v>
      </c>
    </row>
    <row r="25" spans="1:13" x14ac:dyDescent="0.25">
      <c r="B25" s="4">
        <v>21</v>
      </c>
      <c r="C25" s="6"/>
      <c r="D25" s="7">
        <f t="shared" si="1"/>
        <v>0</v>
      </c>
      <c r="E25" s="17">
        <f t="shared" si="0"/>
        <v>370</v>
      </c>
    </row>
    <row r="26" spans="1:13" x14ac:dyDescent="0.25">
      <c r="B26" s="4">
        <v>22</v>
      </c>
      <c r="C26" s="6"/>
      <c r="D26" s="7">
        <f>SUM(C26-C25)*10</f>
        <v>0</v>
      </c>
      <c r="E26" s="17">
        <f t="shared" si="0"/>
        <v>370</v>
      </c>
    </row>
    <row r="27" spans="1:13" x14ac:dyDescent="0.25">
      <c r="A27" s="2" t="s">
        <v>5</v>
      </c>
      <c r="B27" s="4">
        <v>23</v>
      </c>
      <c r="C27" s="6"/>
      <c r="D27" s="7">
        <f>SUM(C27-C26)*10</f>
        <v>0</v>
      </c>
      <c r="E27" s="17">
        <f t="shared" si="0"/>
        <v>370</v>
      </c>
    </row>
    <row r="28" spans="1:13" ht="12.75" customHeight="1" x14ac:dyDescent="0.25">
      <c r="B28" s="4">
        <v>24</v>
      </c>
      <c r="C28" s="6"/>
      <c r="D28" s="7">
        <f>SUM(C28-C27)*10</f>
        <v>0</v>
      </c>
      <c r="E28" s="17">
        <f t="shared" si="0"/>
        <v>370</v>
      </c>
      <c r="M28" s="2" t="s">
        <v>15</v>
      </c>
    </row>
    <row r="29" spans="1:13" ht="15.6" x14ac:dyDescent="0.25">
      <c r="B29" s="12" t="s">
        <v>6</v>
      </c>
      <c r="C29" s="9">
        <f>MAX(C5:C28)</f>
        <v>1633</v>
      </c>
      <c r="D29" s="10">
        <f>MAX(D5:D28)</f>
        <v>30</v>
      </c>
      <c r="E29" s="10">
        <f>MAX(E5:E28)</f>
        <v>370</v>
      </c>
    </row>
    <row r="30" spans="1:13" ht="15.6" x14ac:dyDescent="0.25">
      <c r="B30" s="12" t="s">
        <v>7</v>
      </c>
      <c r="C30" s="9">
        <f>MIN(C5:C28)</f>
        <v>1596</v>
      </c>
      <c r="D30" s="10">
        <f>MIN(D5:D28)</f>
        <v>0</v>
      </c>
      <c r="E30" s="10">
        <f>MIN(E5:E28)</f>
        <v>0</v>
      </c>
    </row>
    <row r="31" spans="1:13" ht="15.6" x14ac:dyDescent="0.25">
      <c r="B31" s="13" t="s">
        <v>8</v>
      </c>
      <c r="C31" s="9">
        <f>AVERAGE(C5:C28)</f>
        <v>1611.9444444444443</v>
      </c>
      <c r="D31" s="10">
        <f>AVERAGE(D5:D28)</f>
        <v>15.416666666666666</v>
      </c>
      <c r="E31" s="10">
        <f>AVERAGE(E5:E28)</f>
        <v>212.08333333333334</v>
      </c>
    </row>
    <row r="32" spans="1:13" ht="15.75" customHeight="1" thickBot="1" x14ac:dyDescent="0.3">
      <c r="B32" s="14" t="s">
        <v>9</v>
      </c>
      <c r="C32" s="15">
        <f>SUM(C5:C28)</f>
        <v>29015</v>
      </c>
      <c r="D32" s="15">
        <f>SUM(D5:D28)</f>
        <v>370</v>
      </c>
      <c r="E32" s="15">
        <f>SUM(E5:E28)</f>
        <v>5090</v>
      </c>
    </row>
    <row r="33" spans="2:2" hidden="1" x14ac:dyDescent="0.25"/>
    <row r="34" spans="2:2" hidden="1" x14ac:dyDescent="0.25"/>
    <row r="35" spans="2:2" hidden="1" x14ac:dyDescent="0.25"/>
    <row r="36" spans="2:2" hidden="1" x14ac:dyDescent="0.25"/>
    <row r="37" spans="2:2" hidden="1" x14ac:dyDescent="0.25"/>
    <row r="38" spans="2:2" hidden="1" x14ac:dyDescent="0.25"/>
    <row r="41" spans="2:2" x14ac:dyDescent="0.25">
      <c r="B41" s="2" t="s">
        <v>10</v>
      </c>
    </row>
  </sheetData>
  <mergeCells count="2">
    <mergeCell ref="B1:E2"/>
    <mergeCell ref="C3:D3"/>
  </mergeCell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38</vt:i4>
      </vt:variant>
    </vt:vector>
  </HeadingPairs>
  <TitlesOfParts>
    <vt:vector size="38" baseType="lpstr">
      <vt:lpstr>27-ABRIL-2026</vt:lpstr>
      <vt:lpstr>28-ABRIL-2026</vt:lpstr>
      <vt:lpstr>29-ABRIL-2026</vt:lpstr>
      <vt:lpstr>30-ABRIL-2026</vt:lpstr>
      <vt:lpstr>1-MAYO-2026</vt:lpstr>
      <vt:lpstr>2-MAYO-2026</vt:lpstr>
      <vt:lpstr>3-MAYO-2026 </vt:lpstr>
      <vt:lpstr>4-MAYO-2026  </vt:lpstr>
      <vt:lpstr>5-MAYO-2026  </vt:lpstr>
      <vt:lpstr>6-MAYO-2026  </vt:lpstr>
      <vt:lpstr>7-MAYO-2026</vt:lpstr>
      <vt:lpstr>8-MAYO-2026</vt:lpstr>
      <vt:lpstr>9-MAYO-2026</vt:lpstr>
      <vt:lpstr>10-MAYO-2026 </vt:lpstr>
      <vt:lpstr>11-MAYO-2026  </vt:lpstr>
      <vt:lpstr>12-MAYO-2026  </vt:lpstr>
      <vt:lpstr>13-MAYO-2026  </vt:lpstr>
      <vt:lpstr>14-MAYO-2026 </vt:lpstr>
      <vt:lpstr>15-MAYO-2026  </vt:lpstr>
      <vt:lpstr>16-MAYO-2026 </vt:lpstr>
      <vt:lpstr>17-MAYO-2026</vt:lpstr>
      <vt:lpstr>18-MAYO-2026 </vt:lpstr>
      <vt:lpstr>19-MAYO-2026  </vt:lpstr>
      <vt:lpstr>20-MAYO-2026</vt:lpstr>
      <vt:lpstr>21-MAYO-2026 </vt:lpstr>
      <vt:lpstr>22-MAYO-2026  </vt:lpstr>
      <vt:lpstr>23-MAYO-2026</vt:lpstr>
      <vt:lpstr>24-MAYO-2026</vt:lpstr>
      <vt:lpstr>25-MAYO-2026</vt:lpstr>
      <vt:lpstr>26-MAYO-2026 </vt:lpstr>
      <vt:lpstr>27-MAYO-2026  </vt:lpstr>
      <vt:lpstr>28-MAYO-2026   </vt:lpstr>
      <vt:lpstr>29-MAYO-2026    </vt:lpstr>
      <vt:lpstr>30-MAYO-2026   </vt:lpstr>
      <vt:lpstr>31-MAYO-2026  </vt:lpstr>
      <vt:lpstr>01-JUNIIO-2026  </vt:lpstr>
      <vt:lpstr>02-JUNIIO-2026   </vt:lpstr>
      <vt:lpstr>03-JUNIIO-2026 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YANIER PARDO</dc:creator>
  <cp:lastModifiedBy>MILTON ESTHEILER TORRES MURILLO</cp:lastModifiedBy>
  <dcterms:created xsi:type="dcterms:W3CDTF">2026-04-28T22:19:36Z</dcterms:created>
  <dcterms:modified xsi:type="dcterms:W3CDTF">2026-06-05T22:16:57Z</dcterms:modified>
</cp:coreProperties>
</file>